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1886" documentId="11_E60897F41BE170836B02CE998F75CCDC64E183C8" xr6:coauthVersionLast="47" xr6:coauthVersionMax="47" xr10:uidLastSave="{5B438428-008D-4BB7-B46E-96358509FCCD}"/>
  <bookViews>
    <workbookView xWindow="240" yWindow="105" windowWidth="14805" windowHeight="8010" firstSheet="20" activeTab="20" xr2:uid="{00000000-000D-0000-FFFF-FFFF00000000}"/>
  </bookViews>
  <sheets>
    <sheet name="Sum" sheetId="1" r:id="rId1"/>
    <sheet name="Sumif" sheetId="2" r:id="rId2"/>
    <sheet name="SUMIFS" sheetId="3" r:id="rId3"/>
    <sheet name="AVERAGE" sheetId="4" r:id="rId4"/>
    <sheet name="AVERAGEIF" sheetId="5" r:id="rId5"/>
    <sheet name="AVERAGEIFS" sheetId="6" r:id="rId6"/>
    <sheet name="IF" sheetId="16" r:id="rId7"/>
    <sheet name="COUNT &amp; COUNTA" sheetId="7" r:id="rId8"/>
    <sheet name="COUNTIF" sheetId="8" r:id="rId9"/>
    <sheet name="COUNTIFS" sheetId="9" r:id="rId10"/>
    <sheet name="MAX &amp; MIN" sheetId="10" r:id="rId11"/>
    <sheet name="PRODUCT" sheetId="11" r:id="rId12"/>
    <sheet name="TRIM" sheetId="12" r:id="rId13"/>
    <sheet name="PROPER" sheetId="13" r:id="rId14"/>
    <sheet name="CONCATENATE" sheetId="14" r:id="rId15"/>
    <sheet name="ROUND (UP + DOWN) + GROUPBY" sheetId="15" r:id="rId16"/>
    <sheet name="DATA CLEANING" sheetId="17" r:id="rId17"/>
    <sheet name="VLOOKUP" sheetId="18" r:id="rId18"/>
    <sheet name="HLOOKUP" sheetId="19" r:id="rId19"/>
    <sheet name="XLOOKUP" sheetId="21" r:id="rId20"/>
    <sheet name="PIVOT TABLES" sheetId="20" r:id="rId21"/>
  </sheets>
  <definedNames>
    <definedName name="_xlnm._FilterDatabase" localSheetId="2" hidden="1">SUMIFS!$B$4:$D$5</definedName>
    <definedName name="_xlnm._FilterDatabase" localSheetId="15" hidden="1">'ROUND (UP + DOWN) + GROUPBY'!#REF!</definedName>
  </definedNames>
  <calcPr calcId="191028"/>
  <pivotCaches>
    <pivotCache cacheId="92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" i="15" l="1" a="1"/>
  <c r="Q5" i="15"/>
  <c r="N5" i="15" a="1"/>
  <c r="N5" i="15"/>
  <c r="K5" i="15" a="1"/>
  <c r="K5" i="15"/>
  <c r="L15" i="21"/>
  <c r="K8" i="19"/>
  <c r="G6" i="21"/>
  <c r="J6" i="21"/>
  <c r="F5" i="18"/>
  <c r="D9" i="16"/>
  <c r="D10" i="16"/>
  <c r="D4" i="16"/>
  <c r="D5" i="16"/>
  <c r="D6" i="16"/>
  <c r="D7" i="16"/>
  <c r="D8" i="16"/>
  <c r="D3" i="16"/>
  <c r="AG5" i="8"/>
  <c r="D5" i="3"/>
  <c r="E31" i="15"/>
  <c r="D31" i="15"/>
  <c r="C31" i="15"/>
  <c r="E30" i="15"/>
  <c r="D30" i="15"/>
  <c r="C30" i="15"/>
  <c r="E29" i="15"/>
  <c r="D29" i="15"/>
  <c r="C29" i="15"/>
  <c r="E28" i="15"/>
  <c r="D28" i="15"/>
  <c r="C28" i="15"/>
  <c r="E27" i="15"/>
  <c r="D27" i="15"/>
  <c r="C27" i="15"/>
  <c r="E26" i="15"/>
  <c r="D26" i="15"/>
  <c r="C26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5" i="15"/>
  <c r="F6" i="14"/>
  <c r="F7" i="14"/>
  <c r="F8" i="14"/>
  <c r="F9" i="14"/>
  <c r="F10" i="14"/>
  <c r="F11" i="14"/>
  <c r="F12" i="14"/>
  <c r="F13" i="14"/>
  <c r="F14" i="14"/>
  <c r="F5" i="14"/>
  <c r="D6" i="14"/>
  <c r="D7" i="14"/>
  <c r="D8" i="14"/>
  <c r="D9" i="14"/>
  <c r="D10" i="14"/>
  <c r="D11" i="14"/>
  <c r="D12" i="14"/>
  <c r="D13" i="14"/>
  <c r="D14" i="14"/>
  <c r="D5" i="14"/>
  <c r="C7" i="13"/>
  <c r="C8" i="13"/>
  <c r="C9" i="13"/>
  <c r="C10" i="13"/>
  <c r="C11" i="13"/>
  <c r="C12" i="13"/>
  <c r="C13" i="13"/>
  <c r="C14" i="13"/>
  <c r="C15" i="13"/>
  <c r="C6" i="13"/>
  <c r="C8" i="12"/>
  <c r="C9" i="12"/>
  <c r="C10" i="12"/>
  <c r="C11" i="12"/>
  <c r="C12" i="12"/>
  <c r="C13" i="12"/>
  <c r="C14" i="12"/>
  <c r="C15" i="12"/>
  <c r="C16" i="12"/>
  <c r="C7" i="12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C3" i="10"/>
  <c r="B3" i="10"/>
  <c r="D5" i="9"/>
  <c r="AI6" i="8"/>
  <c r="AI7" i="8"/>
  <c r="AI8" i="8"/>
  <c r="AI9" i="8"/>
  <c r="AI10" i="8"/>
  <c r="AI11" i="8"/>
  <c r="AI12" i="8"/>
  <c r="AI13" i="8"/>
  <c r="AI14" i="8"/>
  <c r="AH6" i="8"/>
  <c r="AH7" i="8"/>
  <c r="AH8" i="8"/>
  <c r="AH9" i="8"/>
  <c r="AH10" i="8"/>
  <c r="AH11" i="8"/>
  <c r="AH12" i="8"/>
  <c r="AH13" i="8"/>
  <c r="AH14" i="8"/>
  <c r="AG6" i="8"/>
  <c r="AG7" i="8"/>
  <c r="AG8" i="8"/>
  <c r="AG9" i="8"/>
  <c r="AG10" i="8"/>
  <c r="AG11" i="8"/>
  <c r="AG12" i="8"/>
  <c r="AG13" i="8"/>
  <c r="AG14" i="8"/>
  <c r="AI5" i="8"/>
  <c r="AH5" i="8"/>
  <c r="C6" i="7"/>
  <c r="D6" i="7"/>
  <c r="D7" i="7"/>
  <c r="C7" i="7"/>
  <c r="D5" i="6"/>
  <c r="C5" i="5"/>
  <c r="C22" i="4"/>
  <c r="D22" i="4"/>
  <c r="E22" i="4"/>
  <c r="F22" i="4"/>
  <c r="G22" i="4"/>
  <c r="H22" i="4"/>
  <c r="I22" i="4"/>
  <c r="J22" i="4"/>
  <c r="K22" i="4"/>
  <c r="L22" i="4"/>
  <c r="M22" i="4"/>
  <c r="N22" i="4"/>
  <c r="B2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" i="4"/>
  <c r="C5" i="2"/>
  <c r="N23" i="1"/>
  <c r="C23" i="1"/>
  <c r="D23" i="1"/>
  <c r="E23" i="1"/>
  <c r="F23" i="1"/>
  <c r="G23" i="1"/>
  <c r="H23" i="1"/>
  <c r="I23" i="1"/>
  <c r="J23" i="1"/>
  <c r="K23" i="1"/>
  <c r="L23" i="1"/>
  <c r="M23" i="1"/>
  <c r="B2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<sst xmlns="http://schemas.openxmlformats.org/spreadsheetml/2006/main" count="904" uniqueCount="206">
  <si>
    <t>Foods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</si>
  <si>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</si>
  <si>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</si>
  <si>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</si>
  <si>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</si>
  <si>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</si>
  <si>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</si>
  <si>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</si>
  <si>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</si>
  <si>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</si>
  <si>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</si>
  <si>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</si>
  <si>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</si>
  <si>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</si>
  <si>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Pizza</t>
  </si>
  <si>
    <t>Hamburgers</t>
  </si>
  <si>
    <t>Hot Dogs</t>
  </si>
  <si>
    <t>Tacos</t>
  </si>
  <si>
    <t>Burritos</t>
  </si>
  <si>
    <t xml:space="preserve">Fried Chicken </t>
  </si>
  <si>
    <t>French Fries</t>
  </si>
  <si>
    <t>Chicken Nuggets</t>
  </si>
  <si>
    <t>Sandwiches</t>
  </si>
  <si>
    <t>Sushi Rolls</t>
  </si>
  <si>
    <t>Pasta</t>
  </si>
  <si>
    <t>Stir-Fry</t>
  </si>
  <si>
    <t>Falafel</t>
  </si>
  <si>
    <t>Gyros</t>
  </si>
  <si>
    <t>Shawarma</t>
  </si>
  <si>
    <t>Quesadilas</t>
  </si>
  <si>
    <t>Empanadas</t>
  </si>
  <si>
    <t>Spring Rolls</t>
  </si>
  <si>
    <t>Dumplings</t>
  </si>
  <si>
    <t>Samosas</t>
  </si>
  <si>
    <t xml:space="preserve">SUMIF </t>
  </si>
  <si>
    <t xml:space="preserve">For Single Condition </t>
  </si>
  <si>
    <t>Sales</t>
  </si>
  <si>
    <t>Fried Chicken</t>
  </si>
  <si>
    <t>Quesadillas</t>
  </si>
  <si>
    <t>SUMIFS</t>
  </si>
  <si>
    <t xml:space="preserve">For Multiple Condition </t>
  </si>
  <si>
    <t>Area</t>
  </si>
  <si>
    <t>Total Sales</t>
  </si>
  <si>
    <t>Dhaka</t>
  </si>
  <si>
    <t>Khulna</t>
  </si>
  <si>
    <t>Mymensingh</t>
  </si>
  <si>
    <t>Rajshahi</t>
  </si>
  <si>
    <t>Rangpur</t>
  </si>
  <si>
    <t>Sylhet</t>
  </si>
  <si>
    <t xml:space="preserve">Chittagong </t>
  </si>
  <si>
    <t>Average</t>
  </si>
  <si>
    <t xml:space="preserve">AVERAGEIF </t>
  </si>
  <si>
    <t>Average Sales</t>
  </si>
  <si>
    <t>AVERAGEIFS</t>
  </si>
  <si>
    <t>AVERAGE Sales</t>
  </si>
  <si>
    <t>Name</t>
  </si>
  <si>
    <t>Marks</t>
  </si>
  <si>
    <t>Grade</t>
  </si>
  <si>
    <t>Madhav</t>
  </si>
  <si>
    <t>Karim</t>
  </si>
  <si>
    <t>Nizum</t>
  </si>
  <si>
    <t>Usha</t>
  </si>
  <si>
    <t>Achol</t>
  </si>
  <si>
    <t>Samiya</t>
  </si>
  <si>
    <t>Rodoshi</t>
  </si>
  <si>
    <t>Emon</t>
  </si>
  <si>
    <t>COUNT</t>
  </si>
  <si>
    <t>We use only Number for COUNT (Doesn't use Text)</t>
  </si>
  <si>
    <t>COUNTA</t>
  </si>
  <si>
    <t>When we use Text &amp; Number then we use COUNTA</t>
  </si>
  <si>
    <t>Total Foods</t>
  </si>
  <si>
    <t>Foods Name (Text)</t>
  </si>
  <si>
    <t>Sales (Number)</t>
  </si>
  <si>
    <t>শর্তসাপেক্ষে গননা করতে বললে COUNTIF ব্যবহার করতে হয়</t>
  </si>
  <si>
    <t>EMP Name</t>
  </si>
  <si>
    <t>Total P</t>
  </si>
  <si>
    <t>Total A</t>
  </si>
  <si>
    <t>Total L</t>
  </si>
  <si>
    <t xml:space="preserve">Tanmoy Khan </t>
  </si>
  <si>
    <t>P</t>
  </si>
  <si>
    <t>L</t>
  </si>
  <si>
    <t>A</t>
  </si>
  <si>
    <t>Usha Khan</t>
  </si>
  <si>
    <t>Achol Khan</t>
  </si>
  <si>
    <t>Samiya Khan</t>
  </si>
  <si>
    <t>Tanisha Rahman</t>
  </si>
  <si>
    <t>Nizum Khan</t>
  </si>
  <si>
    <t>Tanvir Khan</t>
  </si>
  <si>
    <t>Alida Khan</t>
  </si>
  <si>
    <t>Rikta Khan</t>
  </si>
  <si>
    <t>Dipu Khan</t>
  </si>
  <si>
    <t>যখন আমাদের একাধিক Conditions গণনা করতে বলবে তখন আমরা COUNTIFS ব্যবহার করব</t>
  </si>
  <si>
    <t>Column1</t>
  </si>
  <si>
    <t>MAX</t>
  </si>
  <si>
    <t>MIN</t>
  </si>
  <si>
    <t>গুণের যে ফাংশন সেটা হল PRODUCT</t>
  </si>
  <si>
    <t>আমরা যদি কখনো কোন ভ্যালুর সাথে অন্য কোন ভ্যালু গুণ করতে চাই তাহলে PRODUCT ব্যবহার করব</t>
  </si>
  <si>
    <t>Quantity</t>
  </si>
  <si>
    <t>Price</t>
  </si>
  <si>
    <t>EMP Name এর ভিতরে যে space গুলো পড়ছে এগুলোর Remove করার জন্য আমরা TRIM ফাংশন ব্যবহার করব</t>
  </si>
  <si>
    <t>Trim</t>
  </si>
  <si>
    <t xml:space="preserve"> Usha  Khan</t>
  </si>
  <si>
    <t xml:space="preserve">        Achol Khan</t>
  </si>
  <si>
    <t xml:space="preserve">                 Samiya Khan</t>
  </si>
  <si>
    <t xml:space="preserve">  Nizum Khan</t>
  </si>
  <si>
    <t>Tanvir         Khan</t>
  </si>
  <si>
    <t xml:space="preserve">     Rikta Khan</t>
  </si>
  <si>
    <t xml:space="preserve">EMP Name এর ভিতর যে Name গুলো আছে, ঐ Name গুলো বিভিন্ন Case এ আছে, সেই ক্ষেত্রে সুন্দরভাবে সাজাতে গেলে PROPER ফাংশন ব্যবহার করতে হয় </t>
  </si>
  <si>
    <t>Proper</t>
  </si>
  <si>
    <t xml:space="preserve">Tanmoy khan </t>
  </si>
  <si>
    <t>achol khan</t>
  </si>
  <si>
    <t>Samiya khan</t>
  </si>
  <si>
    <t>tanisha rahman</t>
  </si>
  <si>
    <t>alida khan</t>
  </si>
  <si>
    <t>Rikta khan</t>
  </si>
  <si>
    <t>dipu Khan</t>
  </si>
  <si>
    <t>CONCAT is a new version of the old CONCATENATE function.</t>
  </si>
  <si>
    <t>First Name</t>
  </si>
  <si>
    <t>Last Name</t>
  </si>
  <si>
    <t>Full Name</t>
  </si>
  <si>
    <t xml:space="preserve">Tanmoy </t>
  </si>
  <si>
    <t xml:space="preserve"> Khan</t>
  </si>
  <si>
    <t xml:space="preserve">Usha </t>
  </si>
  <si>
    <t xml:space="preserve">Achol </t>
  </si>
  <si>
    <t>Khan</t>
  </si>
  <si>
    <t xml:space="preserve">Samiya </t>
  </si>
  <si>
    <t xml:space="preserve">Tanisha </t>
  </si>
  <si>
    <t>Rahman</t>
  </si>
  <si>
    <t xml:space="preserve">Nizum </t>
  </si>
  <si>
    <t xml:space="preserve">Tanvir </t>
  </si>
  <si>
    <t xml:space="preserve">Alida </t>
  </si>
  <si>
    <t xml:space="preserve">Rikta </t>
  </si>
  <si>
    <t xml:space="preserve">Dipu </t>
  </si>
  <si>
    <t>GROUPBY</t>
  </si>
  <si>
    <t>Round</t>
  </si>
  <si>
    <t>Round UP</t>
  </si>
  <si>
    <t>Round Down</t>
  </si>
  <si>
    <t>MAX Price</t>
  </si>
  <si>
    <t>MIN Price</t>
  </si>
  <si>
    <t>Numbers</t>
  </si>
  <si>
    <t>Round Up</t>
  </si>
  <si>
    <t>ROW DATA</t>
  </si>
  <si>
    <t>DATA CLEANING</t>
  </si>
  <si>
    <t>id,name,age,date,email,marks</t>
  </si>
  <si>
    <t>id</t>
  </si>
  <si>
    <t>name</t>
  </si>
  <si>
    <t>age</t>
  </si>
  <si>
    <t>date</t>
  </si>
  <si>
    <t>email</t>
  </si>
  <si>
    <t>marks</t>
  </si>
  <si>
    <t>101,Tanmoy Khan,30,10/5/2026,tanmoy.khan.akash@gmail.com,95</t>
  </si>
  <si>
    <t>Go to (Data) option &amp; then click (Split Text to Columns)</t>
  </si>
  <si>
    <t>Tanmoy Khan</t>
  </si>
  <si>
    <t>tanmoy.khan.akash@gmail.com</t>
  </si>
  <si>
    <t>101,Usha Khan,20,10/5/2026,usha.khan@gmail.com,98</t>
  </si>
  <si>
    <t>usha.khan@gmail.com</t>
  </si>
  <si>
    <t>Fruit</t>
  </si>
  <si>
    <t>VLOOKUP</t>
  </si>
  <si>
    <t>Apple</t>
  </si>
  <si>
    <t>Column Wise</t>
  </si>
  <si>
    <t>Cherry</t>
  </si>
  <si>
    <t>Banana</t>
  </si>
  <si>
    <t>Mango</t>
  </si>
  <si>
    <t>Grapes</t>
  </si>
  <si>
    <t>HLOOKUP</t>
  </si>
  <si>
    <t>Kasmir</t>
  </si>
  <si>
    <t>Austria</t>
  </si>
  <si>
    <t>India</t>
  </si>
  <si>
    <t>Bangladesh</t>
  </si>
  <si>
    <t>Finland</t>
  </si>
  <si>
    <t>Row Wise</t>
  </si>
  <si>
    <t>XLOOKUP</t>
  </si>
  <si>
    <t>Column &amp; Row Wise</t>
  </si>
  <si>
    <t>PIVOT TABLES</t>
  </si>
  <si>
    <t>Q: Who scored more boys or girls in Final Test?</t>
  </si>
  <si>
    <t>Gender</t>
  </si>
  <si>
    <t>Age</t>
  </si>
  <si>
    <t>Class</t>
  </si>
  <si>
    <t>House</t>
  </si>
  <si>
    <t>Unit Test 1</t>
  </si>
  <si>
    <t>Unit Test 2</t>
  </si>
  <si>
    <t>Final Test</t>
  </si>
  <si>
    <t>Sum of Final Test</t>
  </si>
  <si>
    <t>Average of Age</t>
  </si>
  <si>
    <t>Abhimanyu</t>
  </si>
  <si>
    <t>M</t>
  </si>
  <si>
    <t>Bhoomi</t>
  </si>
  <si>
    <t>Agni</t>
  </si>
  <si>
    <t>F</t>
  </si>
  <si>
    <t>Arjun</t>
  </si>
  <si>
    <t>Vayu</t>
  </si>
  <si>
    <t>Champa</t>
  </si>
  <si>
    <t>Jal</t>
  </si>
  <si>
    <t>Agni Total</t>
  </si>
  <si>
    <t>Gopal</t>
  </si>
  <si>
    <t>Gopi</t>
  </si>
  <si>
    <t>Hari</t>
  </si>
  <si>
    <t>Vayu Total</t>
  </si>
  <si>
    <t>Indu</t>
  </si>
  <si>
    <t>Keshav</t>
  </si>
  <si>
    <t>Bhoomi Total</t>
  </si>
  <si>
    <t>Lalita</t>
  </si>
  <si>
    <t>Sam</t>
  </si>
  <si>
    <t>Jal Total</t>
  </si>
  <si>
    <t>RNM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</si>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</sst>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11"/>
      <color rgb="FF000000"/>
      <name val="Calibri"/>
      <scheme val="minor"/>
    </font>
    <font>
      <b/>
      <sz val="11"/>
      <color rgb="FF7030A0"/>
      <name val="Calibri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5" borderId="0" xfId="0" applyFont="1" applyFill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5" borderId="0" xfId="0" applyFont="1" applyFill="1" applyAlignment="1"/>
    <xf numFmtId="0" fontId="1" fillId="4" borderId="6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0" xfId="0" applyFont="1" applyFill="1" applyAlignment="1"/>
    <xf numFmtId="0" fontId="0" fillId="5" borderId="7" xfId="0" applyFont="1" applyFill="1" applyBorder="1" applyAlignment="1"/>
    <xf numFmtId="0" fontId="0" fillId="0" borderId="7" xfId="0" applyBorder="1"/>
    <xf numFmtId="0" fontId="0" fillId="0" borderId="8" xfId="0" applyBorder="1"/>
    <xf numFmtId="0" fontId="0" fillId="5" borderId="7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0" fillId="0" borderId="0" xfId="0" applyFill="1"/>
    <xf numFmtId="0" fontId="2" fillId="2" borderId="15" xfId="0" applyFont="1" applyFill="1" applyBorder="1" applyAlignment="1">
      <alignment horizontal="center"/>
    </xf>
    <xf numFmtId="0" fontId="0" fillId="0" borderId="14" xfId="0" applyBorder="1"/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9">
    <dxf>
      <numFmt numFmtId="3" formatCode="#,##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#,##0.0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2.526247453701" createdVersion="8" refreshedVersion="8" minRefreshableVersion="3" recordCount="12" xr:uid="{E64D27AA-C123-4D62-83CA-E2B9722CCE06}">
  <cacheSource type="worksheet">
    <worksheetSource ref="B6:I18" sheet="PIVOT TABLES"/>
  </cacheSource>
  <cacheFields count="8">
    <cacheField name="Name" numFmtId="0">
      <sharedItems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1" maxValue="17" count="6">
        <n v="16"/>
        <n v="11"/>
        <n v="15"/>
        <n v="14"/>
        <n v="17"/>
        <n v="12"/>
      </sharedItems>
    </cacheField>
    <cacheField name="Class" numFmtId="0">
      <sharedItems containsSemiMixedTypes="0" containsString="0" containsNumber="1" containsInteger="1" minValue="5" maxValue="10"/>
    </cacheField>
    <cacheField name="House" numFmtId="0">
      <sharedItems count="4">
        <s v="Bhoomi"/>
        <s v="Vayu"/>
        <s v="Jal"/>
        <s v="Agni"/>
      </sharedItems>
    </cacheField>
    <cacheField name="Unit Test 1" numFmtId="0">
      <sharedItems containsSemiMixedTypes="0" containsString="0" containsNumber="1" containsInteger="1" minValue="70" maxValue="91"/>
    </cacheField>
    <cacheField name="Unit Test 2" numFmtId="0">
      <sharedItems containsSemiMixedTypes="0" containsString="0" containsNumber="1" containsInteger="1" minValue="75" maxValue="92"/>
    </cacheField>
    <cacheField name="Final Test" numFmtId="0">
      <sharedItems containsSemiMixedTypes="0" containsString="0" containsNumber="1" containsInteger="1" minValue="77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Abhimanyu"/>
    <x v="0"/>
    <x v="0"/>
    <n v="10"/>
    <x v="0"/>
    <n v="84"/>
    <n v="79"/>
    <n v="81"/>
  </r>
  <r>
    <s v="Arjun"/>
    <x v="0"/>
    <x v="1"/>
    <n v="5"/>
    <x v="1"/>
    <n v="82"/>
    <n v="83"/>
    <n v="91"/>
  </r>
  <r>
    <s v="Champa"/>
    <x v="1"/>
    <x v="2"/>
    <n v="8"/>
    <x v="2"/>
    <n v="81"/>
    <n v="78"/>
    <n v="88"/>
  </r>
  <r>
    <s v="Gopal"/>
    <x v="0"/>
    <x v="3"/>
    <n v="8"/>
    <x v="0"/>
    <n v="70"/>
    <n v="75"/>
    <n v="79"/>
  </r>
  <r>
    <s v="Gopi"/>
    <x v="1"/>
    <x v="0"/>
    <n v="10"/>
    <x v="3"/>
    <n v="88"/>
    <n v="92"/>
    <n v="96"/>
  </r>
  <r>
    <s v="Hari"/>
    <x v="0"/>
    <x v="0"/>
    <n v="10"/>
    <x v="0"/>
    <n v="82"/>
    <n v="81"/>
    <n v="80"/>
  </r>
  <r>
    <s v="Indu"/>
    <x v="1"/>
    <x v="3"/>
    <n v="8"/>
    <x v="1"/>
    <n v="90"/>
    <n v="86"/>
    <n v="89"/>
  </r>
  <r>
    <s v="Keshav"/>
    <x v="0"/>
    <x v="2"/>
    <n v="9"/>
    <x v="3"/>
    <n v="87"/>
    <n v="89"/>
    <n v="96"/>
  </r>
  <r>
    <s v="Lalita"/>
    <x v="1"/>
    <x v="4"/>
    <n v="10"/>
    <x v="1"/>
    <n v="70"/>
    <n v="90"/>
    <n v="92"/>
  </r>
  <r>
    <s v="Madhav"/>
    <x v="0"/>
    <x v="5"/>
    <n v="7"/>
    <x v="2"/>
    <n v="86"/>
    <n v="92"/>
    <n v="89"/>
  </r>
  <r>
    <s v="Sam"/>
    <x v="0"/>
    <x v="1"/>
    <n v="6"/>
    <x v="3"/>
    <n v="91"/>
    <n v="81"/>
    <n v="94"/>
  </r>
  <r>
    <s v="RNM"/>
    <x v="0"/>
    <x v="2"/>
    <n v="5"/>
    <x v="3"/>
    <n v="86"/>
    <n v="81"/>
    <n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E6B2B-82CD-43B8-9218-075BF61679AE}" name="PivotTable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6:N18" firstHeaderRow="0" firstDataRow="1" firstDataCol="2"/>
  <pivotFields count="8"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>
      <items count="7">
        <item x="1"/>
        <item x="5"/>
        <item x="3"/>
        <item x="2"/>
        <item x="0"/>
        <item x="4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2">
    <field x="4"/>
    <field x="1"/>
  </rowFields>
  <rowItems count="12">
    <i>
      <x/>
      <x/>
    </i>
    <i r="1">
      <x v="1"/>
    </i>
    <i t="default">
      <x/>
    </i>
    <i>
      <x v="3"/>
      <x/>
    </i>
    <i r="1">
      <x v="1"/>
    </i>
    <i t="default">
      <x v="3"/>
    </i>
    <i>
      <x v="1"/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 Test" fld="7" baseField="0" baseItem="0"/>
    <dataField name="Average of Age" fld="2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D9AE2-654E-4897-BAE1-939429AD4D55}" name="Table1" displayName="Table1" ref="B4:D23" totalsRowShown="0" headerRowDxfId="38" dataDxfId="37" headerRowBorderDxfId="35" tableBorderDxfId="36">
  <autoFilter ref="B4:D23" xr:uid="{190D9AE2-654E-4897-BAE1-939429AD4D55}">
    <filterColumn colId="0" hiddenButton="1"/>
    <filterColumn colId="1" hiddenButton="1"/>
    <filterColumn colId="2" hiddenButton="1"/>
  </autoFilter>
  <tableColumns count="3">
    <tableColumn id="1" xr3:uid="{B6646CC2-1B54-4662-892A-2C2A73053F98}" name="Foods Name" dataDxfId="34"/>
    <tableColumn id="2" xr3:uid="{CDDFBF3E-070E-4FAD-9DD5-F7846AAE97B6}" name="Area" dataDxfId="33"/>
    <tableColumn id="3" xr3:uid="{46C98E80-3150-4E49-A94A-2015CF8A5C3E}" name="Total Sales" dataDxfId="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612FE-EE56-4B64-B1FF-7B064FF9AEA2}" name="Table13" displayName="Table13" ref="B4:D23" totalsRowShown="0" headerRowDxfId="31" dataDxfId="30" headerRowBorderDxfId="28" tableBorderDxfId="29">
  <autoFilter ref="B4:D23" xr:uid="{9E6612FE-EE56-4B64-B1FF-7B064FF9AEA2}">
    <filterColumn colId="0" hiddenButton="1"/>
    <filterColumn colId="1" hiddenButton="1"/>
    <filterColumn colId="2" hiddenButton="1"/>
  </autoFilter>
  <tableColumns count="3">
    <tableColumn id="1" xr3:uid="{A86BCF30-4C3E-407B-B55A-0A0EFFF7820A}" name="Foods Name" dataDxfId="27"/>
    <tableColumn id="2" xr3:uid="{FDC5404F-BEDB-4E56-B852-01DE63CDFC38}" name="Area" dataDxfId="26"/>
    <tableColumn id="3" xr3:uid="{A0AC8AC4-3601-4850-8866-FE7E49BB1299}" name="AVERAGE Sales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AEDF3F-2BFE-469B-BB2C-5263C4C0E572}" name="Table134" displayName="Table134" ref="B4:D39" totalsRowShown="0" headerRowDxfId="24" dataDxfId="23" headerRowBorderDxfId="21" tableBorderDxfId="22">
  <autoFilter ref="B4:D39" xr:uid="{9DAEDF3F-2BFE-469B-BB2C-5263C4C0E572}">
    <filterColumn colId="0" hiddenButton="1"/>
    <filterColumn colId="1" hiddenButton="1"/>
    <filterColumn colId="2" hiddenButton="1"/>
  </autoFilter>
  <tableColumns count="3">
    <tableColumn id="1" xr3:uid="{F4C2B158-379B-479E-B6D2-20BD1BCE9EA4}" name="Foods Name" dataDxfId="20"/>
    <tableColumn id="2" xr3:uid="{2A02E44C-20A2-4FDC-B976-208560AFCA27}" name="Area" dataDxfId="19"/>
    <tableColumn id="3" xr3:uid="{B556E72D-C0D2-4194-80F6-F08DA91EE879}" name="Column1" data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D48CBD-9132-494D-A755-36825DB64D3F}" name="Table4" displayName="Table4" ref="B5:E21" totalsRowShown="0" headerRowDxfId="17" headerRowBorderDxfId="15" tableBorderDxfId="16" totalsRowBorderDxfId="14">
  <autoFilter ref="B5:E21" xr:uid="{23D48CBD-9132-494D-A755-36825DB64D3F}">
    <filterColumn colId="0" hiddenButton="1"/>
    <filterColumn colId="1" hiddenButton="1"/>
    <filterColumn colId="2" hiddenButton="1"/>
    <filterColumn colId="3" hiddenButton="1"/>
  </autoFilter>
  <tableColumns count="4">
    <tableColumn id="1" xr3:uid="{B77416A8-39B3-489D-B525-8EF13888B26C}" name="Foods Name" dataDxfId="13"/>
    <tableColumn id="3" xr3:uid="{867B86A0-5921-4DF0-ACB0-C6473E11AA07}" name="Quantity" dataDxfId="12"/>
    <tableColumn id="2" xr3:uid="{D4B1A6AC-CC33-4CBF-B8F2-46C36616F475}" name="Price" dataDxfId="11"/>
    <tableColumn id="4" xr3:uid="{177AE89F-2A8D-4C24-B3D6-EA7045D006B8}" name="Total" dataDxfId="10">
      <calculatedColumnFormula>PRODUCT(C6:D6)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A43FB0-1043-48E4-AF5B-39EA3B5E331F}" name="Table46" displayName="Table46" ref="B4:G20" totalsRowShown="0" headerRowDxfId="9" headerRowBorderDxfId="7" tableBorderDxfId="8" totalsRowBorderDxfId="6">
  <autoFilter ref="B4:G20" xr:uid="{12A43FB0-1043-48E4-AF5B-39EA3B5E33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9C29849-2EEE-4FA7-97B4-6C77F742368A}" name="Foods Name" dataDxfId="5"/>
    <tableColumn id="3" xr3:uid="{B17D1529-056B-48E0-B4D4-CEB0F6F243A9}" name="Quantity" dataDxfId="4"/>
    <tableColumn id="2" xr3:uid="{6C2724D4-97C2-41C5-91D5-D7654396279D}" name="Price" dataDxfId="3"/>
    <tableColumn id="4" xr3:uid="{DC2B0D2E-845F-4318-A5D5-CB6CA150C147}" name="Round" dataDxfId="2">
      <calculatedColumnFormula>ROUND(D5,0)</calculatedColumnFormula>
    </tableColumn>
    <tableColumn id="5" xr3:uid="{549849D7-CD65-4435-9BF0-C7A865D2FAE5}" name="Round UP" dataDxfId="1">
      <calculatedColumnFormula>ROUNDUP(D5,0)</calculatedColumnFormula>
    </tableColumn>
    <tableColumn id="6" xr3:uid="{93AFE99C-3E0C-4501-A9F2-7ADFD2A24D55}" name="Round Down" dataDxfId="0">
      <calculatedColumnFormula>ROUNDDOWN(D5,0)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3"/>
  <sheetViews>
    <sheetView workbookViewId="0">
      <selection activeCell="N3" sqref="N3"/>
    </sheetView>
  </sheetViews>
  <sheetFormatPr defaultRowHeight="15"/>
  <cols>
    <col min="1" max="1" width="15.28515625" style="4" bestFit="1" customWidth="1"/>
    <col min="10" max="10" width="11.7109375" bestFit="1" customWidth="1"/>
  </cols>
  <sheetData>
    <row r="2" spans="1:14" s="1" customFormat="1" ht="15.7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</row>
    <row r="3" spans="1:14" s="3" customFormat="1">
      <c r="A3" s="6" t="s">
        <v>14</v>
      </c>
      <c r="B3" s="65">
        <v>44326</v>
      </c>
      <c r="C3" s="65">
        <v>43980</v>
      </c>
      <c r="D3" s="65">
        <v>88486</v>
      </c>
      <c r="E3" s="65">
        <v>79128</v>
      </c>
      <c r="F3" s="65">
        <v>49116</v>
      </c>
      <c r="G3" s="65">
        <v>49031</v>
      </c>
      <c r="H3" s="65">
        <v>47130</v>
      </c>
      <c r="I3" s="65">
        <v>57015</v>
      </c>
      <c r="J3" s="65">
        <v>7410</v>
      </c>
      <c r="K3" s="65">
        <v>17798</v>
      </c>
      <c r="L3" s="65">
        <v>52654</v>
      </c>
      <c r="M3" s="65">
        <v>28820</v>
      </c>
      <c r="N3" s="65">
        <f>SUM(B3:M3)</f>
        <v>564894</v>
      </c>
    </row>
    <row r="4" spans="1:14" s="3" customFormat="1">
      <c r="A4" s="6" t="s">
        <v>15</v>
      </c>
      <c r="B4" s="65">
        <v>36174</v>
      </c>
      <c r="C4" s="65">
        <v>92194</v>
      </c>
      <c r="D4" s="65">
        <v>73294</v>
      </c>
      <c r="E4" s="65">
        <v>38102</v>
      </c>
      <c r="F4" s="65">
        <v>40249</v>
      </c>
      <c r="G4" s="65">
        <v>85892</v>
      </c>
      <c r="H4" s="65">
        <v>39753</v>
      </c>
      <c r="I4" s="65">
        <v>69660</v>
      </c>
      <c r="J4" s="65">
        <v>11154</v>
      </c>
      <c r="K4" s="65">
        <v>23474</v>
      </c>
      <c r="L4" s="65">
        <v>50368</v>
      </c>
      <c r="M4" s="65">
        <v>6854</v>
      </c>
      <c r="N4" s="65">
        <f t="shared" ref="N4:N22" si="0">SUM(B4:M4)</f>
        <v>567168</v>
      </c>
    </row>
    <row r="5" spans="1:14" s="3" customFormat="1">
      <c r="A5" s="6" t="s">
        <v>16</v>
      </c>
      <c r="B5" s="65">
        <v>71573</v>
      </c>
      <c r="C5" s="65">
        <v>11140</v>
      </c>
      <c r="D5" s="65">
        <v>82150</v>
      </c>
      <c r="E5" s="65">
        <v>14263</v>
      </c>
      <c r="F5" s="65">
        <v>34187</v>
      </c>
      <c r="G5" s="65">
        <v>5204</v>
      </c>
      <c r="H5" s="65">
        <v>78705</v>
      </c>
      <c r="I5" s="65">
        <v>54404</v>
      </c>
      <c r="J5" s="65">
        <v>56559</v>
      </c>
      <c r="K5" s="65">
        <v>27665</v>
      </c>
      <c r="L5" s="65">
        <v>44315</v>
      </c>
      <c r="M5" s="65">
        <v>62135</v>
      </c>
      <c r="N5" s="65">
        <f t="shared" si="0"/>
        <v>542300</v>
      </c>
    </row>
    <row r="6" spans="1:14" s="3" customFormat="1">
      <c r="A6" s="6" t="s">
        <v>17</v>
      </c>
      <c r="B6" s="65">
        <v>62813</v>
      </c>
      <c r="C6" s="65">
        <v>25996</v>
      </c>
      <c r="D6" s="65">
        <v>92021</v>
      </c>
      <c r="E6" s="65">
        <v>32106</v>
      </c>
      <c r="F6" s="65">
        <v>52022</v>
      </c>
      <c r="G6" s="65">
        <v>89912</v>
      </c>
      <c r="H6" s="65">
        <v>49935</v>
      </c>
      <c r="I6" s="65">
        <v>74544</v>
      </c>
      <c r="J6" s="65">
        <v>79229</v>
      </c>
      <c r="K6" s="65">
        <v>61746</v>
      </c>
      <c r="L6" s="65">
        <v>6978</v>
      </c>
      <c r="M6" s="65">
        <v>10713</v>
      </c>
      <c r="N6" s="65">
        <f t="shared" si="0"/>
        <v>638015</v>
      </c>
    </row>
    <row r="7" spans="1:14" s="3" customFormat="1">
      <c r="A7" s="6" t="s">
        <v>18</v>
      </c>
      <c r="B7" s="65">
        <v>94850</v>
      </c>
      <c r="C7" s="65">
        <v>65564</v>
      </c>
      <c r="D7" s="65">
        <v>42989</v>
      </c>
      <c r="E7" s="65">
        <v>63546</v>
      </c>
      <c r="F7" s="65">
        <v>3014</v>
      </c>
      <c r="G7" s="65">
        <v>28474</v>
      </c>
      <c r="H7" s="65">
        <v>4490</v>
      </c>
      <c r="I7" s="65">
        <v>56817</v>
      </c>
      <c r="J7" s="65">
        <v>73818</v>
      </c>
      <c r="K7" s="65">
        <v>30696</v>
      </c>
      <c r="L7" s="65">
        <v>79466</v>
      </c>
      <c r="M7" s="65">
        <v>62376</v>
      </c>
      <c r="N7" s="65">
        <f t="shared" si="0"/>
        <v>606100</v>
      </c>
    </row>
    <row r="8" spans="1:14" s="3" customFormat="1">
      <c r="A8" s="6" t="s">
        <v>19</v>
      </c>
      <c r="B8" s="65">
        <v>29502</v>
      </c>
      <c r="C8" s="65">
        <v>35099</v>
      </c>
      <c r="D8" s="65">
        <v>57765</v>
      </c>
      <c r="E8" s="65">
        <v>68445</v>
      </c>
      <c r="F8" s="65">
        <v>83582</v>
      </c>
      <c r="G8" s="65">
        <v>18718</v>
      </c>
      <c r="H8" s="65">
        <v>68772</v>
      </c>
      <c r="I8" s="65">
        <v>10338</v>
      </c>
      <c r="J8" s="65">
        <v>22558</v>
      </c>
      <c r="K8" s="65">
        <v>76452</v>
      </c>
      <c r="L8" s="65">
        <v>12872</v>
      </c>
      <c r="M8" s="65">
        <v>50027</v>
      </c>
      <c r="N8" s="65">
        <f t="shared" si="0"/>
        <v>534130</v>
      </c>
    </row>
    <row r="9" spans="1:14" s="3" customFormat="1">
      <c r="A9" s="6" t="s">
        <v>20</v>
      </c>
      <c r="B9" s="65">
        <v>65364</v>
      </c>
      <c r="C9" s="65">
        <v>38828</v>
      </c>
      <c r="D9" s="65">
        <v>11249</v>
      </c>
      <c r="E9" s="65">
        <v>81452</v>
      </c>
      <c r="F9" s="65">
        <v>96683</v>
      </c>
      <c r="G9" s="65">
        <v>99954</v>
      </c>
      <c r="H9" s="65">
        <v>33921</v>
      </c>
      <c r="I9" s="65">
        <v>3658</v>
      </c>
      <c r="J9" s="65">
        <v>53578</v>
      </c>
      <c r="K9" s="65">
        <v>85925</v>
      </c>
      <c r="L9" s="65">
        <v>65127</v>
      </c>
      <c r="M9" s="65">
        <v>17297</v>
      </c>
      <c r="N9" s="65">
        <f t="shared" si="0"/>
        <v>653036</v>
      </c>
    </row>
    <row r="10" spans="1:14" s="3" customFormat="1">
      <c r="A10" s="6" t="s">
        <v>21</v>
      </c>
      <c r="B10" s="65">
        <v>82536</v>
      </c>
      <c r="C10" s="65">
        <v>21958</v>
      </c>
      <c r="D10" s="65">
        <v>38067</v>
      </c>
      <c r="E10" s="65">
        <v>11861</v>
      </c>
      <c r="F10" s="65">
        <v>7891</v>
      </c>
      <c r="G10" s="65">
        <v>42172</v>
      </c>
      <c r="H10" s="65">
        <v>63625</v>
      </c>
      <c r="I10" s="65">
        <v>39045</v>
      </c>
      <c r="J10" s="65">
        <v>51498</v>
      </c>
      <c r="K10" s="65">
        <v>75312</v>
      </c>
      <c r="L10" s="65">
        <v>82407</v>
      </c>
      <c r="M10" s="65">
        <v>12583</v>
      </c>
      <c r="N10" s="65">
        <f t="shared" si="0"/>
        <v>528955</v>
      </c>
    </row>
    <row r="11" spans="1:14" s="3" customFormat="1">
      <c r="A11" s="6" t="s">
        <v>22</v>
      </c>
      <c r="B11" s="65">
        <v>47241</v>
      </c>
      <c r="C11" s="65">
        <v>73323</v>
      </c>
      <c r="D11" s="65">
        <v>22969</v>
      </c>
      <c r="E11" s="65">
        <v>97373</v>
      </c>
      <c r="F11" s="65">
        <v>99898</v>
      </c>
      <c r="G11" s="65">
        <v>67994</v>
      </c>
      <c r="H11" s="65">
        <v>29861</v>
      </c>
      <c r="I11" s="65">
        <v>83537</v>
      </c>
      <c r="J11" s="65">
        <v>71139</v>
      </c>
      <c r="K11" s="65">
        <v>16574</v>
      </c>
      <c r="L11" s="65">
        <v>48527</v>
      </c>
      <c r="M11" s="65">
        <v>74762</v>
      </c>
      <c r="N11" s="65">
        <f t="shared" si="0"/>
        <v>733198</v>
      </c>
    </row>
    <row r="12" spans="1:14" s="3" customFormat="1">
      <c r="A12" s="6" t="s">
        <v>23</v>
      </c>
      <c r="B12" s="65">
        <v>76568</v>
      </c>
      <c r="C12" s="65">
        <v>74663</v>
      </c>
      <c r="D12" s="65">
        <v>34100</v>
      </c>
      <c r="E12" s="65">
        <v>42712</v>
      </c>
      <c r="F12" s="65">
        <v>41230</v>
      </c>
      <c r="G12" s="65">
        <v>35629</v>
      </c>
      <c r="H12" s="65">
        <v>59596</v>
      </c>
      <c r="I12" s="65">
        <v>82603</v>
      </c>
      <c r="J12" s="65">
        <v>66979</v>
      </c>
      <c r="K12" s="65">
        <v>87405</v>
      </c>
      <c r="L12" s="65">
        <v>97908</v>
      </c>
      <c r="M12" s="65">
        <v>80938</v>
      </c>
      <c r="N12" s="65">
        <f t="shared" si="0"/>
        <v>780331</v>
      </c>
    </row>
    <row r="13" spans="1:14" s="3" customFormat="1">
      <c r="A13" s="6" t="s">
        <v>24</v>
      </c>
      <c r="B13" s="65">
        <v>38557</v>
      </c>
      <c r="C13" s="65">
        <v>37459</v>
      </c>
      <c r="D13" s="65">
        <v>76722</v>
      </c>
      <c r="E13" s="65">
        <v>72376</v>
      </c>
      <c r="F13" s="65">
        <v>13026</v>
      </c>
      <c r="G13" s="65">
        <v>84126</v>
      </c>
      <c r="H13" s="65">
        <v>62923</v>
      </c>
      <c r="I13" s="65">
        <v>71598</v>
      </c>
      <c r="J13" s="65">
        <v>24065</v>
      </c>
      <c r="K13" s="65">
        <v>92435</v>
      </c>
      <c r="L13" s="65">
        <v>9885</v>
      </c>
      <c r="M13" s="65">
        <v>20288</v>
      </c>
      <c r="N13" s="65">
        <f t="shared" si="0"/>
        <v>603460</v>
      </c>
    </row>
    <row r="14" spans="1:14" s="3" customFormat="1">
      <c r="A14" s="6" t="s">
        <v>25</v>
      </c>
      <c r="B14" s="65">
        <v>97522</v>
      </c>
      <c r="C14" s="65">
        <v>66801</v>
      </c>
      <c r="D14" s="65">
        <v>3891</v>
      </c>
      <c r="E14" s="65">
        <v>91740</v>
      </c>
      <c r="F14" s="65">
        <v>63339</v>
      </c>
      <c r="G14" s="65">
        <v>30075</v>
      </c>
      <c r="H14" s="65">
        <v>73801</v>
      </c>
      <c r="I14" s="65">
        <v>26447</v>
      </c>
      <c r="J14" s="65">
        <v>83316</v>
      </c>
      <c r="K14" s="65">
        <v>19925</v>
      </c>
      <c r="L14" s="65">
        <v>23364</v>
      </c>
      <c r="M14" s="65">
        <v>14906</v>
      </c>
      <c r="N14" s="65">
        <f t="shared" si="0"/>
        <v>595127</v>
      </c>
    </row>
    <row r="15" spans="1:14" s="3" customFormat="1">
      <c r="A15" s="6" t="s">
        <v>26</v>
      </c>
      <c r="B15" s="65">
        <v>65417</v>
      </c>
      <c r="C15" s="65">
        <v>34233</v>
      </c>
      <c r="D15" s="65">
        <v>50768</v>
      </c>
      <c r="E15" s="65">
        <v>71667</v>
      </c>
      <c r="F15" s="65">
        <v>53874</v>
      </c>
      <c r="G15" s="65">
        <v>17110</v>
      </c>
      <c r="H15" s="65">
        <v>36754</v>
      </c>
      <c r="I15" s="65">
        <v>93926</v>
      </c>
      <c r="J15" s="65">
        <v>39665</v>
      </c>
      <c r="K15" s="65">
        <v>3858</v>
      </c>
      <c r="L15" s="65">
        <v>74626</v>
      </c>
      <c r="M15" s="65">
        <v>35569</v>
      </c>
      <c r="N15" s="65">
        <f t="shared" si="0"/>
        <v>577467</v>
      </c>
    </row>
    <row r="16" spans="1:14" s="3" customFormat="1">
      <c r="A16" s="6" t="s">
        <v>27</v>
      </c>
      <c r="B16" s="65">
        <v>66183</v>
      </c>
      <c r="C16" s="65">
        <v>78491</v>
      </c>
      <c r="D16" s="65">
        <v>94867</v>
      </c>
      <c r="E16" s="65">
        <v>34128</v>
      </c>
      <c r="F16" s="65">
        <v>11211</v>
      </c>
      <c r="G16" s="65">
        <v>34209</v>
      </c>
      <c r="H16" s="65">
        <v>48286</v>
      </c>
      <c r="I16" s="65">
        <v>86097</v>
      </c>
      <c r="J16" s="65">
        <v>43625</v>
      </c>
      <c r="K16" s="65">
        <v>69414</v>
      </c>
      <c r="L16" s="65">
        <v>82483</v>
      </c>
      <c r="M16" s="65">
        <v>9496</v>
      </c>
      <c r="N16" s="65">
        <f t="shared" si="0"/>
        <v>658490</v>
      </c>
    </row>
    <row r="17" spans="1:14" s="3" customFormat="1">
      <c r="A17" s="6" t="s">
        <v>28</v>
      </c>
      <c r="B17" s="65">
        <v>3232</v>
      </c>
      <c r="C17" s="65">
        <v>56453</v>
      </c>
      <c r="D17" s="65">
        <v>61704</v>
      </c>
      <c r="E17" s="65">
        <v>96816</v>
      </c>
      <c r="F17" s="65">
        <v>36533</v>
      </c>
      <c r="G17" s="65">
        <v>22765</v>
      </c>
      <c r="H17" s="65">
        <v>10593</v>
      </c>
      <c r="I17" s="65">
        <v>50437</v>
      </c>
      <c r="J17" s="7">
        <v>68197</v>
      </c>
      <c r="K17" s="65">
        <v>33843</v>
      </c>
      <c r="L17" s="65">
        <v>85798</v>
      </c>
      <c r="M17" s="65">
        <v>78254</v>
      </c>
      <c r="N17" s="65">
        <f t="shared" si="0"/>
        <v>604625</v>
      </c>
    </row>
    <row r="18" spans="1:14" s="3" customFormat="1">
      <c r="A18" s="6" t="s">
        <v>29</v>
      </c>
      <c r="B18" s="65">
        <v>98071</v>
      </c>
      <c r="C18" s="65">
        <v>36414</v>
      </c>
      <c r="D18" s="65">
        <v>7217</v>
      </c>
      <c r="E18" s="65">
        <v>39730</v>
      </c>
      <c r="F18" s="65">
        <v>46877</v>
      </c>
      <c r="G18" s="65">
        <v>17197</v>
      </c>
      <c r="H18" s="65">
        <v>72361</v>
      </c>
      <c r="I18" s="65">
        <v>87846</v>
      </c>
      <c r="J18" s="65">
        <v>23380</v>
      </c>
      <c r="K18" s="65">
        <v>67772</v>
      </c>
      <c r="L18" s="65">
        <v>54013</v>
      </c>
      <c r="M18" s="65">
        <v>86365</v>
      </c>
      <c r="N18" s="65">
        <f t="shared" si="0"/>
        <v>637243</v>
      </c>
    </row>
    <row r="19" spans="1:14" s="3" customFormat="1">
      <c r="A19" s="6" t="s">
        <v>30</v>
      </c>
      <c r="B19" s="65">
        <v>38993</v>
      </c>
      <c r="C19" s="65">
        <v>23858</v>
      </c>
      <c r="D19" s="65">
        <v>34350</v>
      </c>
      <c r="E19" s="65">
        <v>4663</v>
      </c>
      <c r="F19" s="65">
        <v>81437</v>
      </c>
      <c r="G19" s="65">
        <v>29715</v>
      </c>
      <c r="H19" s="65">
        <v>89381</v>
      </c>
      <c r="I19" s="65">
        <v>98745</v>
      </c>
      <c r="J19" s="65">
        <v>9763</v>
      </c>
      <c r="K19" s="65">
        <v>35915</v>
      </c>
      <c r="L19" s="65">
        <v>66249</v>
      </c>
      <c r="M19" s="65">
        <v>42197</v>
      </c>
      <c r="N19" s="65">
        <f t="shared" si="0"/>
        <v>555266</v>
      </c>
    </row>
    <row r="20" spans="1:14" s="3" customFormat="1">
      <c r="A20" s="6" t="s">
        <v>31</v>
      </c>
      <c r="B20" s="65">
        <v>47499</v>
      </c>
      <c r="C20" s="65">
        <v>61263</v>
      </c>
      <c r="D20" s="65">
        <v>2767</v>
      </c>
      <c r="E20" s="65">
        <v>88864</v>
      </c>
      <c r="F20" s="65">
        <v>26673</v>
      </c>
      <c r="G20" s="65">
        <v>50093</v>
      </c>
      <c r="H20" s="65">
        <v>35362</v>
      </c>
      <c r="I20" s="65">
        <v>29086</v>
      </c>
      <c r="J20" s="65">
        <v>10157</v>
      </c>
      <c r="K20" s="65">
        <v>71825</v>
      </c>
      <c r="L20" s="65">
        <v>92858</v>
      </c>
      <c r="M20" s="65">
        <v>39667</v>
      </c>
      <c r="N20" s="65">
        <f t="shared" si="0"/>
        <v>556114</v>
      </c>
    </row>
    <row r="21" spans="1:14" s="3" customFormat="1">
      <c r="A21" s="6" t="s">
        <v>32</v>
      </c>
      <c r="B21" s="65">
        <v>72471</v>
      </c>
      <c r="C21" s="65">
        <v>64782</v>
      </c>
      <c r="D21" s="65">
        <v>78120</v>
      </c>
      <c r="E21" s="65">
        <v>58507</v>
      </c>
      <c r="F21" s="65">
        <v>27517</v>
      </c>
      <c r="G21" s="65">
        <v>12615</v>
      </c>
      <c r="H21" s="65">
        <v>70250</v>
      </c>
      <c r="I21" s="65">
        <v>66962</v>
      </c>
      <c r="J21" s="65">
        <v>71122</v>
      </c>
      <c r="K21" s="65">
        <v>3902</v>
      </c>
      <c r="L21" s="65">
        <v>40370</v>
      </c>
      <c r="M21" s="65">
        <v>57554</v>
      </c>
      <c r="N21" s="65">
        <f t="shared" si="0"/>
        <v>624172</v>
      </c>
    </row>
    <row r="22" spans="1:14" s="3" customFormat="1">
      <c r="A22" s="6" t="s">
        <v>33</v>
      </c>
      <c r="B22" s="65">
        <v>31269</v>
      </c>
      <c r="C22" s="65">
        <v>7833</v>
      </c>
      <c r="D22" s="65">
        <v>91306</v>
      </c>
      <c r="E22" s="65">
        <v>61891</v>
      </c>
      <c r="F22" s="65">
        <v>90989</v>
      </c>
      <c r="G22" s="65">
        <v>36920</v>
      </c>
      <c r="H22" s="65">
        <v>23211</v>
      </c>
      <c r="I22" s="65">
        <v>38627</v>
      </c>
      <c r="J22" s="65">
        <v>33350</v>
      </c>
      <c r="K22" s="65">
        <v>83908</v>
      </c>
      <c r="L22" s="65">
        <v>25511</v>
      </c>
      <c r="M22" s="65">
        <v>60284</v>
      </c>
      <c r="N22" s="65">
        <f t="shared" si="0"/>
        <v>585099</v>
      </c>
    </row>
    <row r="23" spans="1:14" s="2" customFormat="1">
      <c r="A23" s="67" t="s">
        <v>13</v>
      </c>
      <c r="B23" s="67">
        <f>SUM(B3:B22)</f>
        <v>1170161</v>
      </c>
      <c r="C23" s="67">
        <f t="shared" ref="C23:N23" si="1">SUM(C3:C22)</f>
        <v>950332</v>
      </c>
      <c r="D23" s="67">
        <f t="shared" si="1"/>
        <v>1044802</v>
      </c>
      <c r="E23" s="67">
        <f t="shared" si="1"/>
        <v>1149370</v>
      </c>
      <c r="F23" s="67">
        <f t="shared" si="1"/>
        <v>959348</v>
      </c>
      <c r="G23" s="67">
        <f t="shared" si="1"/>
        <v>857805</v>
      </c>
      <c r="H23" s="67">
        <f t="shared" si="1"/>
        <v>998710</v>
      </c>
      <c r="I23" s="67">
        <f t="shared" si="1"/>
        <v>1181392</v>
      </c>
      <c r="J23" s="67">
        <f t="shared" si="1"/>
        <v>900562</v>
      </c>
      <c r="K23" s="67">
        <f t="shared" si="1"/>
        <v>985844</v>
      </c>
      <c r="L23" s="67">
        <f t="shared" si="1"/>
        <v>1095779</v>
      </c>
      <c r="M23" s="67">
        <f t="shared" si="1"/>
        <v>851085</v>
      </c>
      <c r="N23" s="67">
        <f t="shared" si="1"/>
        <v>12145190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9E18-2898-479D-AD97-1D6DD2C2DA64}">
  <dimension ref="B1:C23"/>
  <sheetViews>
    <sheetView topLeftCell="A2" workbookViewId="0">
      <selection activeCell="C5" sqref="C5"/>
    </sheetView>
  </sheetViews>
  <sheetFormatPr defaultRowHeight="15"/>
  <cols>
    <col min="2" max="2" width="15.28515625" style="3" bestFit="1" customWidth="1"/>
    <col min="3" max="3" width="20.42578125" style="3" bestFit="1" customWidth="1"/>
  </cols>
  <sheetData>
    <row r="1" spans="2:3" ht="15.75">
      <c r="B1" s="39"/>
      <c r="C1" s="39"/>
    </row>
    <row r="2" spans="2:3" ht="15.75">
      <c r="B2" s="40" t="s">
        <v>34</v>
      </c>
      <c r="C2" s="64" t="s">
        <v>35</v>
      </c>
    </row>
    <row r="4" spans="2:3">
      <c r="B4" s="9" t="s">
        <v>0</v>
      </c>
      <c r="C4" s="9" t="s">
        <v>36</v>
      </c>
    </row>
    <row r="5" spans="2:3">
      <c r="B5" s="65" t="s">
        <v>20</v>
      </c>
      <c r="C5" s="65">
        <f>SUMIF(B8:B23,B5,C8:C23)</f>
        <v>4006</v>
      </c>
    </row>
    <row r="7" spans="2:3">
      <c r="B7" s="9" t="s">
        <v>0</v>
      </c>
      <c r="C7" s="9" t="s">
        <v>36</v>
      </c>
    </row>
    <row r="8" spans="2:3">
      <c r="B8" s="65" t="s">
        <v>14</v>
      </c>
      <c r="C8" s="65">
        <v>944</v>
      </c>
    </row>
    <row r="9" spans="2:3">
      <c r="B9" s="65" t="s">
        <v>15</v>
      </c>
      <c r="C9" s="65">
        <v>8119</v>
      </c>
    </row>
    <row r="10" spans="2:3">
      <c r="B10" s="65" t="s">
        <v>16</v>
      </c>
      <c r="C10" s="65">
        <v>7353</v>
      </c>
    </row>
    <row r="11" spans="2:3">
      <c r="B11" s="65" t="s">
        <v>17</v>
      </c>
      <c r="C11" s="65">
        <v>3941</v>
      </c>
    </row>
    <row r="12" spans="2:3">
      <c r="B12" s="65" t="s">
        <v>18</v>
      </c>
      <c r="C12" s="65">
        <v>6888</v>
      </c>
    </row>
    <row r="13" spans="2:3">
      <c r="B13" s="65" t="s">
        <v>37</v>
      </c>
      <c r="C13" s="65">
        <v>2154</v>
      </c>
    </row>
    <row r="14" spans="2:3">
      <c r="B14" s="65" t="s">
        <v>20</v>
      </c>
      <c r="C14" s="65">
        <v>4006</v>
      </c>
    </row>
    <row r="15" spans="2:3">
      <c r="B15" s="65" t="s">
        <v>21</v>
      </c>
      <c r="C15" s="65">
        <v>7109</v>
      </c>
    </row>
    <row r="16" spans="2:3">
      <c r="B16" s="65" t="s">
        <v>22</v>
      </c>
      <c r="C16" s="65">
        <v>9356</v>
      </c>
    </row>
    <row r="17" spans="2:3">
      <c r="B17" s="65" t="s">
        <v>23</v>
      </c>
      <c r="C17" s="65">
        <v>5274</v>
      </c>
    </row>
    <row r="18" spans="2:3">
      <c r="B18" s="65" t="s">
        <v>24</v>
      </c>
      <c r="C18" s="65">
        <v>1579</v>
      </c>
    </row>
    <row r="19" spans="2:3">
      <c r="B19" s="65" t="s">
        <v>25</v>
      </c>
      <c r="C19" s="65">
        <v>3948</v>
      </c>
    </row>
    <row r="20" spans="2:3">
      <c r="B20" s="65" t="s">
        <v>26</v>
      </c>
      <c r="C20" s="65">
        <v>4445</v>
      </c>
    </row>
    <row r="21" spans="2:3">
      <c r="B21" s="65" t="s">
        <v>27</v>
      </c>
      <c r="C21" s="65">
        <v>6591</v>
      </c>
    </row>
    <row r="22" spans="2:3">
      <c r="B22" s="65" t="s">
        <v>28</v>
      </c>
      <c r="C22" s="65">
        <v>9716</v>
      </c>
    </row>
    <row r="23" spans="2:3">
      <c r="B23" s="65" t="s">
        <v>38</v>
      </c>
      <c r="C23" s="65">
        <v>9127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D4D8-E81C-4EF1-BCD8-6E7D343257A3}">
  <dimension ref="B1:D23"/>
  <sheetViews>
    <sheetView workbookViewId="0">
      <selection activeCell="D5" sqref="D5"/>
    </sheetView>
  </sheetViews>
  <sheetFormatPr defaultRowHeight="15"/>
  <cols>
    <col min="2" max="2" width="15.28515625" bestFit="1" customWidth="1"/>
    <col min="3" max="3" width="20.42578125" bestFit="1" customWidth="1"/>
    <col min="4" max="4" width="15.7109375" bestFit="1" customWidth="1"/>
  </cols>
  <sheetData>
    <row r="1" spans="2:4" s="41" customFormat="1" ht="15.75">
      <c r="B1" s="39"/>
      <c r="C1" s="39"/>
      <c r="D1" s="39"/>
    </row>
    <row r="2" spans="2:4" ht="15.75">
      <c r="B2" s="40" t="s">
        <v>39</v>
      </c>
      <c r="C2" s="71" t="s">
        <v>40</v>
      </c>
      <c r="D2" s="72"/>
    </row>
    <row r="4" spans="2:4">
      <c r="B4" s="11" t="s">
        <v>0</v>
      </c>
      <c r="C4" s="11" t="s">
        <v>41</v>
      </c>
      <c r="D4" s="11" t="s">
        <v>42</v>
      </c>
    </row>
    <row r="5" spans="2:4">
      <c r="B5" s="10" t="s">
        <v>14</v>
      </c>
      <c r="C5" s="65" t="s">
        <v>43</v>
      </c>
      <c r="D5" s="65">
        <f>SUMIFS(D8:D23,B8:B23,B5,C8:C23,C5)</f>
        <v>944</v>
      </c>
    </row>
    <row r="6" spans="2:4">
      <c r="B6" s="3"/>
      <c r="C6" s="3"/>
      <c r="D6" s="3"/>
    </row>
    <row r="7" spans="2:4">
      <c r="B7" s="9" t="s">
        <v>0</v>
      </c>
      <c r="C7" s="9"/>
      <c r="D7" s="9" t="s">
        <v>36</v>
      </c>
    </row>
    <row r="8" spans="2:4">
      <c r="B8" s="65" t="s">
        <v>14</v>
      </c>
      <c r="C8" s="65" t="s">
        <v>43</v>
      </c>
      <c r="D8" s="65">
        <v>944</v>
      </c>
    </row>
    <row r="9" spans="2:4">
      <c r="B9" s="65" t="s">
        <v>15</v>
      </c>
      <c r="C9" s="65" t="s">
        <v>44</v>
      </c>
      <c r="D9" s="65">
        <v>8119</v>
      </c>
    </row>
    <row r="10" spans="2:4">
      <c r="B10" s="65" t="s">
        <v>16</v>
      </c>
      <c r="C10" s="65" t="s">
        <v>45</v>
      </c>
      <c r="D10" s="65">
        <v>7353</v>
      </c>
    </row>
    <row r="11" spans="2:4">
      <c r="B11" s="65" t="s">
        <v>17</v>
      </c>
      <c r="C11" s="65" t="s">
        <v>46</v>
      </c>
      <c r="D11" s="65">
        <v>3941</v>
      </c>
    </row>
    <row r="12" spans="2:4">
      <c r="B12" s="65" t="s">
        <v>18</v>
      </c>
      <c r="C12" s="65" t="s">
        <v>47</v>
      </c>
      <c r="D12" s="65">
        <v>6888</v>
      </c>
    </row>
    <row r="13" spans="2:4">
      <c r="B13" s="65" t="s">
        <v>37</v>
      </c>
      <c r="C13" s="65" t="s">
        <v>48</v>
      </c>
      <c r="D13" s="65">
        <v>2154</v>
      </c>
    </row>
    <row r="14" spans="2:4">
      <c r="B14" s="65" t="s">
        <v>20</v>
      </c>
      <c r="C14" s="65" t="s">
        <v>49</v>
      </c>
      <c r="D14" s="65">
        <v>4006</v>
      </c>
    </row>
    <row r="15" spans="2:4">
      <c r="B15" s="65" t="s">
        <v>21</v>
      </c>
      <c r="C15" s="65" t="s">
        <v>43</v>
      </c>
      <c r="D15" s="65">
        <v>7109</v>
      </c>
    </row>
    <row r="16" spans="2:4">
      <c r="B16" s="65" t="s">
        <v>22</v>
      </c>
      <c r="C16" s="65" t="s">
        <v>44</v>
      </c>
      <c r="D16" s="65">
        <v>9356</v>
      </c>
    </row>
    <row r="17" spans="2:4">
      <c r="B17" s="65" t="s">
        <v>23</v>
      </c>
      <c r="C17" s="65" t="s">
        <v>45</v>
      </c>
      <c r="D17" s="65">
        <v>5274</v>
      </c>
    </row>
    <row r="18" spans="2:4">
      <c r="B18" s="65" t="s">
        <v>24</v>
      </c>
      <c r="C18" s="65" t="s">
        <v>46</v>
      </c>
      <c r="D18" s="65">
        <v>1579</v>
      </c>
    </row>
    <row r="19" spans="2:4">
      <c r="B19" s="65" t="s">
        <v>25</v>
      </c>
      <c r="C19" s="65" t="s">
        <v>47</v>
      </c>
      <c r="D19" s="65">
        <v>3948</v>
      </c>
    </row>
    <row r="20" spans="2:4">
      <c r="B20" s="65" t="s">
        <v>26</v>
      </c>
      <c r="C20" s="65" t="s">
        <v>48</v>
      </c>
      <c r="D20" s="65">
        <v>4445</v>
      </c>
    </row>
    <row r="21" spans="2:4">
      <c r="B21" s="65" t="s">
        <v>27</v>
      </c>
      <c r="C21" s="65" t="s">
        <v>49</v>
      </c>
      <c r="D21" s="65">
        <v>6591</v>
      </c>
    </row>
    <row r="22" spans="2:4">
      <c r="B22" s="65" t="s">
        <v>28</v>
      </c>
      <c r="C22" s="65" t="s">
        <v>43</v>
      </c>
      <c r="D22" s="65">
        <v>9716</v>
      </c>
    </row>
    <row r="23" spans="2:4">
      <c r="B23" s="12" t="s">
        <v>38</v>
      </c>
      <c r="C23" s="12" t="s">
        <v>44</v>
      </c>
      <c r="D23" s="12">
        <v>9127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4063-60A4-4B93-905D-DE5A0E0817C3}">
  <dimension ref="A1:N22"/>
  <sheetViews>
    <sheetView workbookViewId="0">
      <selection activeCell="N2" sqref="N2"/>
    </sheetView>
  </sheetViews>
  <sheetFormatPr defaultRowHeight="15"/>
  <sheetData>
    <row r="1" spans="1:14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50</v>
      </c>
    </row>
    <row r="2" spans="1:14">
      <c r="A2" s="6" t="s">
        <v>14</v>
      </c>
      <c r="B2" s="65">
        <v>44326</v>
      </c>
      <c r="C2" s="65">
        <v>43980</v>
      </c>
      <c r="D2" s="65">
        <v>88486</v>
      </c>
      <c r="E2" s="65">
        <v>79128</v>
      </c>
      <c r="F2" s="65">
        <v>49116</v>
      </c>
      <c r="G2" s="65">
        <v>49031</v>
      </c>
      <c r="H2" s="65">
        <v>47130</v>
      </c>
      <c r="I2" s="65">
        <v>57015</v>
      </c>
      <c r="J2" s="65">
        <v>7410</v>
      </c>
      <c r="K2" s="65">
        <v>17798</v>
      </c>
      <c r="L2" s="65">
        <v>52654</v>
      </c>
      <c r="M2" s="65">
        <v>28820</v>
      </c>
      <c r="N2" s="65">
        <f>AVERAGE(B2:M2)</f>
        <v>47074.5</v>
      </c>
    </row>
    <row r="3" spans="1:14">
      <c r="A3" s="6" t="s">
        <v>15</v>
      </c>
      <c r="B3" s="65">
        <v>36174</v>
      </c>
      <c r="C3" s="65">
        <v>92194</v>
      </c>
      <c r="D3" s="65">
        <v>73294</v>
      </c>
      <c r="E3" s="65">
        <v>38102</v>
      </c>
      <c r="F3" s="65">
        <v>40249</v>
      </c>
      <c r="G3" s="65">
        <v>85892</v>
      </c>
      <c r="H3" s="65">
        <v>39753</v>
      </c>
      <c r="I3" s="65">
        <v>69660</v>
      </c>
      <c r="J3" s="65">
        <v>11154</v>
      </c>
      <c r="K3" s="65">
        <v>23474</v>
      </c>
      <c r="L3" s="65">
        <v>50368</v>
      </c>
      <c r="M3" s="65">
        <v>6854</v>
      </c>
      <c r="N3" s="65">
        <f t="shared" ref="N3:N21" si="0">AVERAGE(B3:M3)</f>
        <v>47264</v>
      </c>
    </row>
    <row r="4" spans="1:14">
      <c r="A4" s="6" t="s">
        <v>16</v>
      </c>
      <c r="B4" s="65">
        <v>71573</v>
      </c>
      <c r="C4" s="65">
        <v>11140</v>
      </c>
      <c r="D4" s="65">
        <v>82150</v>
      </c>
      <c r="E4" s="65">
        <v>14263</v>
      </c>
      <c r="F4" s="65">
        <v>34187</v>
      </c>
      <c r="G4" s="65">
        <v>5204</v>
      </c>
      <c r="H4" s="65">
        <v>78705</v>
      </c>
      <c r="I4" s="65">
        <v>54404</v>
      </c>
      <c r="J4" s="65">
        <v>56559</v>
      </c>
      <c r="K4" s="65">
        <v>27665</v>
      </c>
      <c r="L4" s="65">
        <v>44315</v>
      </c>
      <c r="M4" s="65">
        <v>62135</v>
      </c>
      <c r="N4" s="65">
        <f t="shared" si="0"/>
        <v>45191.666666666664</v>
      </c>
    </row>
    <row r="5" spans="1:14">
      <c r="A5" s="6" t="s">
        <v>17</v>
      </c>
      <c r="B5" s="65">
        <v>62813</v>
      </c>
      <c r="C5" s="65">
        <v>25996</v>
      </c>
      <c r="D5" s="65">
        <v>92021</v>
      </c>
      <c r="E5" s="65">
        <v>32106</v>
      </c>
      <c r="F5" s="65">
        <v>52022</v>
      </c>
      <c r="G5" s="65">
        <v>89912</v>
      </c>
      <c r="H5" s="65">
        <v>49935</v>
      </c>
      <c r="I5" s="65">
        <v>74544</v>
      </c>
      <c r="J5" s="65">
        <v>79229</v>
      </c>
      <c r="K5" s="65">
        <v>61746</v>
      </c>
      <c r="L5" s="65">
        <v>6978</v>
      </c>
      <c r="M5" s="65">
        <v>10713</v>
      </c>
      <c r="N5" s="65">
        <f t="shared" si="0"/>
        <v>53167.916666666664</v>
      </c>
    </row>
    <row r="6" spans="1:14">
      <c r="A6" s="6" t="s">
        <v>18</v>
      </c>
      <c r="B6" s="65">
        <v>94850</v>
      </c>
      <c r="C6" s="65">
        <v>65564</v>
      </c>
      <c r="D6" s="65">
        <v>42989</v>
      </c>
      <c r="E6" s="65">
        <v>63546</v>
      </c>
      <c r="F6" s="65">
        <v>3014</v>
      </c>
      <c r="G6" s="65">
        <v>28474</v>
      </c>
      <c r="H6" s="65">
        <v>4490</v>
      </c>
      <c r="I6" s="65">
        <v>56817</v>
      </c>
      <c r="J6" s="65">
        <v>73818</v>
      </c>
      <c r="K6" s="65">
        <v>30696</v>
      </c>
      <c r="L6" s="65">
        <v>79466</v>
      </c>
      <c r="M6" s="65">
        <v>62376</v>
      </c>
      <c r="N6" s="65">
        <f t="shared" si="0"/>
        <v>50508.333333333336</v>
      </c>
    </row>
    <row r="7" spans="1:14">
      <c r="A7" s="6" t="s">
        <v>19</v>
      </c>
      <c r="B7" s="65">
        <v>29502</v>
      </c>
      <c r="C7" s="65">
        <v>35099</v>
      </c>
      <c r="D7" s="65">
        <v>57765</v>
      </c>
      <c r="E7" s="65">
        <v>68445</v>
      </c>
      <c r="F7" s="65">
        <v>83582</v>
      </c>
      <c r="G7" s="65">
        <v>18718</v>
      </c>
      <c r="H7" s="65">
        <v>68772</v>
      </c>
      <c r="I7" s="65">
        <v>10338</v>
      </c>
      <c r="J7" s="65">
        <v>22558</v>
      </c>
      <c r="K7" s="65">
        <v>76452</v>
      </c>
      <c r="L7" s="65">
        <v>12872</v>
      </c>
      <c r="M7" s="65">
        <v>50027</v>
      </c>
      <c r="N7" s="65">
        <f t="shared" si="0"/>
        <v>44510.833333333336</v>
      </c>
    </row>
    <row r="8" spans="1:14">
      <c r="A8" s="6" t="s">
        <v>20</v>
      </c>
      <c r="B8" s="65">
        <v>65364</v>
      </c>
      <c r="C8" s="65">
        <v>38828</v>
      </c>
      <c r="D8" s="65">
        <v>11249</v>
      </c>
      <c r="E8" s="65">
        <v>81452</v>
      </c>
      <c r="F8" s="65">
        <v>96683</v>
      </c>
      <c r="G8" s="65">
        <v>99954</v>
      </c>
      <c r="H8" s="65">
        <v>33921</v>
      </c>
      <c r="I8" s="65">
        <v>3658</v>
      </c>
      <c r="J8" s="65">
        <v>53578</v>
      </c>
      <c r="K8" s="65">
        <v>85925</v>
      </c>
      <c r="L8" s="65">
        <v>65127</v>
      </c>
      <c r="M8" s="65">
        <v>17297</v>
      </c>
      <c r="N8" s="65">
        <f t="shared" si="0"/>
        <v>54419.666666666664</v>
      </c>
    </row>
    <row r="9" spans="1:14">
      <c r="A9" s="6" t="s">
        <v>21</v>
      </c>
      <c r="B9" s="65">
        <v>82536</v>
      </c>
      <c r="C9" s="65">
        <v>21958</v>
      </c>
      <c r="D9" s="65">
        <v>38067</v>
      </c>
      <c r="E9" s="65">
        <v>11861</v>
      </c>
      <c r="F9" s="65">
        <v>7891</v>
      </c>
      <c r="G9" s="65">
        <v>42172</v>
      </c>
      <c r="H9" s="65">
        <v>63625</v>
      </c>
      <c r="I9" s="65">
        <v>39045</v>
      </c>
      <c r="J9" s="65">
        <v>51498</v>
      </c>
      <c r="K9" s="65">
        <v>75312</v>
      </c>
      <c r="L9" s="65">
        <v>82407</v>
      </c>
      <c r="M9" s="65">
        <v>12583</v>
      </c>
      <c r="N9" s="65">
        <f t="shared" si="0"/>
        <v>44079.583333333336</v>
      </c>
    </row>
    <row r="10" spans="1:14">
      <c r="A10" s="6" t="s">
        <v>22</v>
      </c>
      <c r="B10" s="65">
        <v>47241</v>
      </c>
      <c r="C10" s="65">
        <v>73323</v>
      </c>
      <c r="D10" s="65">
        <v>22969</v>
      </c>
      <c r="E10" s="65">
        <v>97373</v>
      </c>
      <c r="F10" s="65">
        <v>99898</v>
      </c>
      <c r="G10" s="65">
        <v>67994</v>
      </c>
      <c r="H10" s="65">
        <v>29861</v>
      </c>
      <c r="I10" s="65">
        <v>83537</v>
      </c>
      <c r="J10" s="65">
        <v>71139</v>
      </c>
      <c r="K10" s="65">
        <v>16574</v>
      </c>
      <c r="L10" s="65">
        <v>48527</v>
      </c>
      <c r="M10" s="65">
        <v>74762</v>
      </c>
      <c r="N10" s="65">
        <f t="shared" si="0"/>
        <v>61099.833333333336</v>
      </c>
    </row>
    <row r="11" spans="1:14">
      <c r="A11" s="6" t="s">
        <v>23</v>
      </c>
      <c r="B11" s="65">
        <v>76568</v>
      </c>
      <c r="C11" s="65">
        <v>74663</v>
      </c>
      <c r="D11" s="65">
        <v>34100</v>
      </c>
      <c r="E11" s="65">
        <v>42712</v>
      </c>
      <c r="F11" s="65">
        <v>41230</v>
      </c>
      <c r="G11" s="65">
        <v>35629</v>
      </c>
      <c r="H11" s="65">
        <v>59596</v>
      </c>
      <c r="I11" s="65">
        <v>82603</v>
      </c>
      <c r="J11" s="65">
        <v>66979</v>
      </c>
      <c r="K11" s="65">
        <v>87405</v>
      </c>
      <c r="L11" s="65">
        <v>97908</v>
      </c>
      <c r="M11" s="65">
        <v>80938</v>
      </c>
      <c r="N11" s="65">
        <f t="shared" si="0"/>
        <v>65027.583333333336</v>
      </c>
    </row>
    <row r="12" spans="1:14">
      <c r="A12" s="6" t="s">
        <v>24</v>
      </c>
      <c r="B12" s="65">
        <v>38557</v>
      </c>
      <c r="C12" s="65">
        <v>37459</v>
      </c>
      <c r="D12" s="65">
        <v>76722</v>
      </c>
      <c r="E12" s="65">
        <v>72376</v>
      </c>
      <c r="F12" s="65">
        <v>13026</v>
      </c>
      <c r="G12" s="65">
        <v>84126</v>
      </c>
      <c r="H12" s="65">
        <v>62923</v>
      </c>
      <c r="I12" s="65">
        <v>71598</v>
      </c>
      <c r="J12" s="65">
        <v>24065</v>
      </c>
      <c r="K12" s="65">
        <v>92435</v>
      </c>
      <c r="L12" s="65">
        <v>9885</v>
      </c>
      <c r="M12" s="65">
        <v>20288</v>
      </c>
      <c r="N12" s="65">
        <f t="shared" si="0"/>
        <v>50288.333333333336</v>
      </c>
    </row>
    <row r="13" spans="1:14">
      <c r="A13" s="6" t="s">
        <v>25</v>
      </c>
      <c r="B13" s="65">
        <v>97522</v>
      </c>
      <c r="C13" s="65">
        <v>66801</v>
      </c>
      <c r="D13" s="65">
        <v>3891</v>
      </c>
      <c r="E13" s="65">
        <v>91740</v>
      </c>
      <c r="F13" s="65">
        <v>63339</v>
      </c>
      <c r="G13" s="65">
        <v>30075</v>
      </c>
      <c r="H13" s="65">
        <v>73801</v>
      </c>
      <c r="I13" s="65">
        <v>26447</v>
      </c>
      <c r="J13" s="65">
        <v>83316</v>
      </c>
      <c r="K13" s="65">
        <v>19925</v>
      </c>
      <c r="L13" s="65">
        <v>23364</v>
      </c>
      <c r="M13" s="65">
        <v>14906</v>
      </c>
      <c r="N13" s="65">
        <f t="shared" si="0"/>
        <v>49593.916666666664</v>
      </c>
    </row>
    <row r="14" spans="1:14">
      <c r="A14" s="6" t="s">
        <v>26</v>
      </c>
      <c r="B14" s="65">
        <v>65417</v>
      </c>
      <c r="C14" s="65">
        <v>34233</v>
      </c>
      <c r="D14" s="65">
        <v>50768</v>
      </c>
      <c r="E14" s="65">
        <v>71667</v>
      </c>
      <c r="F14" s="65">
        <v>53874</v>
      </c>
      <c r="G14" s="65">
        <v>17110</v>
      </c>
      <c r="H14" s="65">
        <v>36754</v>
      </c>
      <c r="I14" s="65">
        <v>93926</v>
      </c>
      <c r="J14" s="65">
        <v>39665</v>
      </c>
      <c r="K14" s="65">
        <v>3858</v>
      </c>
      <c r="L14" s="65">
        <v>74626</v>
      </c>
      <c r="M14" s="65">
        <v>35569</v>
      </c>
      <c r="N14" s="65">
        <f t="shared" si="0"/>
        <v>48122.25</v>
      </c>
    </row>
    <row r="15" spans="1:14">
      <c r="A15" s="6" t="s">
        <v>27</v>
      </c>
      <c r="B15" s="65">
        <v>66183</v>
      </c>
      <c r="C15" s="65">
        <v>78491</v>
      </c>
      <c r="D15" s="65">
        <v>94867</v>
      </c>
      <c r="E15" s="65">
        <v>34128</v>
      </c>
      <c r="F15" s="65">
        <v>11211</v>
      </c>
      <c r="G15" s="65">
        <v>34209</v>
      </c>
      <c r="H15" s="65">
        <v>48286</v>
      </c>
      <c r="I15" s="65">
        <v>86097</v>
      </c>
      <c r="J15" s="65">
        <v>43625</v>
      </c>
      <c r="K15" s="65">
        <v>69414</v>
      </c>
      <c r="L15" s="65">
        <v>82483</v>
      </c>
      <c r="M15" s="65">
        <v>9496</v>
      </c>
      <c r="N15" s="65">
        <f t="shared" si="0"/>
        <v>54874.166666666664</v>
      </c>
    </row>
    <row r="16" spans="1:14">
      <c r="A16" s="6" t="s">
        <v>28</v>
      </c>
      <c r="B16" s="65">
        <v>3232</v>
      </c>
      <c r="C16" s="65">
        <v>56453</v>
      </c>
      <c r="D16" s="65">
        <v>61704</v>
      </c>
      <c r="E16" s="65">
        <v>96816</v>
      </c>
      <c r="F16" s="65">
        <v>36533</v>
      </c>
      <c r="G16" s="65">
        <v>22765</v>
      </c>
      <c r="H16" s="65">
        <v>10593</v>
      </c>
      <c r="I16" s="65">
        <v>50437</v>
      </c>
      <c r="J16" s="7">
        <v>68197</v>
      </c>
      <c r="K16" s="65">
        <v>33843</v>
      </c>
      <c r="L16" s="65">
        <v>85798</v>
      </c>
      <c r="M16" s="65">
        <v>78254</v>
      </c>
      <c r="N16" s="65">
        <f t="shared" si="0"/>
        <v>50385.416666666664</v>
      </c>
    </row>
    <row r="17" spans="1:14">
      <c r="A17" s="6" t="s">
        <v>29</v>
      </c>
      <c r="B17" s="65">
        <v>98071</v>
      </c>
      <c r="C17" s="65">
        <v>36414</v>
      </c>
      <c r="D17" s="65">
        <v>7217</v>
      </c>
      <c r="E17" s="65">
        <v>39730</v>
      </c>
      <c r="F17" s="65">
        <v>46877</v>
      </c>
      <c r="G17" s="65">
        <v>17197</v>
      </c>
      <c r="H17" s="65">
        <v>72361</v>
      </c>
      <c r="I17" s="65">
        <v>87846</v>
      </c>
      <c r="J17" s="65">
        <v>23380</v>
      </c>
      <c r="K17" s="65">
        <v>67772</v>
      </c>
      <c r="L17" s="65">
        <v>54013</v>
      </c>
      <c r="M17" s="65">
        <v>86365</v>
      </c>
      <c r="N17" s="65">
        <f t="shared" si="0"/>
        <v>53103.583333333336</v>
      </c>
    </row>
    <row r="18" spans="1:14">
      <c r="A18" s="6" t="s">
        <v>30</v>
      </c>
      <c r="B18" s="65">
        <v>38993</v>
      </c>
      <c r="C18" s="65">
        <v>23858</v>
      </c>
      <c r="D18" s="65">
        <v>34350</v>
      </c>
      <c r="E18" s="65">
        <v>4663</v>
      </c>
      <c r="F18" s="65">
        <v>81437</v>
      </c>
      <c r="G18" s="65">
        <v>29715</v>
      </c>
      <c r="H18" s="65">
        <v>89381</v>
      </c>
      <c r="I18" s="65">
        <v>98745</v>
      </c>
      <c r="J18" s="65">
        <v>9763</v>
      </c>
      <c r="K18" s="65">
        <v>35915</v>
      </c>
      <c r="L18" s="65">
        <v>66249</v>
      </c>
      <c r="M18" s="65">
        <v>42197</v>
      </c>
      <c r="N18" s="65">
        <f t="shared" si="0"/>
        <v>46272.166666666664</v>
      </c>
    </row>
    <row r="19" spans="1:14">
      <c r="A19" s="6" t="s">
        <v>31</v>
      </c>
      <c r="B19" s="65">
        <v>47499</v>
      </c>
      <c r="C19" s="65">
        <v>61263</v>
      </c>
      <c r="D19" s="65">
        <v>2767</v>
      </c>
      <c r="E19" s="65">
        <v>88864</v>
      </c>
      <c r="F19" s="65">
        <v>26673</v>
      </c>
      <c r="G19" s="65">
        <v>50093</v>
      </c>
      <c r="H19" s="65">
        <v>35362</v>
      </c>
      <c r="I19" s="65">
        <v>29086</v>
      </c>
      <c r="J19" s="65">
        <v>10157</v>
      </c>
      <c r="K19" s="65">
        <v>71825</v>
      </c>
      <c r="L19" s="65">
        <v>92858</v>
      </c>
      <c r="M19" s="65">
        <v>39667</v>
      </c>
      <c r="N19" s="65">
        <f t="shared" si="0"/>
        <v>46342.833333333336</v>
      </c>
    </row>
    <row r="20" spans="1:14">
      <c r="A20" s="6" t="s">
        <v>32</v>
      </c>
      <c r="B20" s="65">
        <v>72471</v>
      </c>
      <c r="C20" s="65">
        <v>64782</v>
      </c>
      <c r="D20" s="65">
        <v>78120</v>
      </c>
      <c r="E20" s="65">
        <v>58507</v>
      </c>
      <c r="F20" s="65">
        <v>27517</v>
      </c>
      <c r="G20" s="65">
        <v>12615</v>
      </c>
      <c r="H20" s="65">
        <v>70250</v>
      </c>
      <c r="I20" s="65">
        <v>66962</v>
      </c>
      <c r="J20" s="65">
        <v>71122</v>
      </c>
      <c r="K20" s="65">
        <v>3902</v>
      </c>
      <c r="L20" s="65">
        <v>40370</v>
      </c>
      <c r="M20" s="65">
        <v>57554</v>
      </c>
      <c r="N20" s="65">
        <f t="shared" si="0"/>
        <v>52014.333333333336</v>
      </c>
    </row>
    <row r="21" spans="1:14">
      <c r="A21" s="6" t="s">
        <v>33</v>
      </c>
      <c r="B21" s="65">
        <v>31269</v>
      </c>
      <c r="C21" s="65">
        <v>7833</v>
      </c>
      <c r="D21" s="65">
        <v>91306</v>
      </c>
      <c r="E21" s="65">
        <v>61891</v>
      </c>
      <c r="F21" s="65">
        <v>90989</v>
      </c>
      <c r="G21" s="65">
        <v>36920</v>
      </c>
      <c r="H21" s="65">
        <v>23211</v>
      </c>
      <c r="I21" s="65">
        <v>38627</v>
      </c>
      <c r="J21" s="65">
        <v>33350</v>
      </c>
      <c r="K21" s="65">
        <v>83908</v>
      </c>
      <c r="L21" s="65">
        <v>25511</v>
      </c>
      <c r="M21" s="65">
        <v>60284</v>
      </c>
      <c r="N21" s="65">
        <f t="shared" si="0"/>
        <v>48758.25</v>
      </c>
    </row>
    <row r="22" spans="1:14">
      <c r="A22" s="67" t="s">
        <v>50</v>
      </c>
      <c r="B22" s="67">
        <f>AVERAGE(B2:B21)</f>
        <v>58508.05</v>
      </c>
      <c r="C22" s="67">
        <f t="shared" ref="C22:N22" si="1">AVERAGE(C2:C21)</f>
        <v>47516.6</v>
      </c>
      <c r="D22" s="67">
        <f t="shared" si="1"/>
        <v>52240.1</v>
      </c>
      <c r="E22" s="67">
        <f t="shared" si="1"/>
        <v>57468.5</v>
      </c>
      <c r="F22" s="67">
        <f t="shared" si="1"/>
        <v>47967.4</v>
      </c>
      <c r="G22" s="67">
        <f t="shared" si="1"/>
        <v>42890.25</v>
      </c>
      <c r="H22" s="67">
        <f t="shared" si="1"/>
        <v>49935.5</v>
      </c>
      <c r="I22" s="67">
        <f t="shared" si="1"/>
        <v>59069.599999999999</v>
      </c>
      <c r="J22" s="67">
        <f t="shared" si="1"/>
        <v>45028.1</v>
      </c>
      <c r="K22" s="67">
        <f t="shared" si="1"/>
        <v>49292.2</v>
      </c>
      <c r="L22" s="67">
        <f t="shared" si="1"/>
        <v>54788.95</v>
      </c>
      <c r="M22" s="67">
        <f t="shared" si="1"/>
        <v>42554.25</v>
      </c>
      <c r="N22" s="67">
        <f t="shared" si="1"/>
        <v>50604.958333333328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89BF-ABFC-475A-8297-F363C88F2D87}">
  <dimension ref="B1:C23"/>
  <sheetViews>
    <sheetView workbookViewId="0">
      <selection activeCell="C5" sqref="C5"/>
    </sheetView>
  </sheetViews>
  <sheetFormatPr defaultRowHeight="15"/>
  <cols>
    <col min="2" max="2" width="15.28515625" bestFit="1" customWidth="1"/>
    <col min="3" max="3" width="20.42578125" bestFit="1" customWidth="1"/>
  </cols>
  <sheetData>
    <row r="1" spans="2:3" s="41" customFormat="1" ht="15.75">
      <c r="B1" s="39"/>
      <c r="C1" s="39"/>
    </row>
    <row r="2" spans="2:3" ht="15.75">
      <c r="B2" s="40" t="s">
        <v>51</v>
      </c>
      <c r="C2" s="64" t="s">
        <v>35</v>
      </c>
    </row>
    <row r="3" spans="2:3">
      <c r="B3" s="3"/>
      <c r="C3" s="3"/>
    </row>
    <row r="4" spans="2:3">
      <c r="B4" s="9" t="s">
        <v>0</v>
      </c>
      <c r="C4" s="9" t="s">
        <v>52</v>
      </c>
    </row>
    <row r="5" spans="2:3">
      <c r="B5" s="65" t="s">
        <v>15</v>
      </c>
      <c r="C5" s="65">
        <f>AVERAGEIF(B8:B23,B5,C8:C23)</f>
        <v>8119</v>
      </c>
    </row>
    <row r="6" spans="2:3">
      <c r="B6" s="3"/>
      <c r="C6" s="3"/>
    </row>
    <row r="7" spans="2:3">
      <c r="B7" s="9" t="s">
        <v>0</v>
      </c>
      <c r="C7" s="9" t="s">
        <v>36</v>
      </c>
    </row>
    <row r="8" spans="2:3">
      <c r="B8" s="65" t="s">
        <v>14</v>
      </c>
      <c r="C8" s="65">
        <v>944</v>
      </c>
    </row>
    <row r="9" spans="2:3">
      <c r="B9" s="65" t="s">
        <v>15</v>
      </c>
      <c r="C9" s="65">
        <v>8119</v>
      </c>
    </row>
    <row r="10" spans="2:3">
      <c r="B10" s="65" t="s">
        <v>16</v>
      </c>
      <c r="C10" s="65">
        <v>7353</v>
      </c>
    </row>
    <row r="11" spans="2:3">
      <c r="B11" s="65" t="s">
        <v>17</v>
      </c>
      <c r="C11" s="65">
        <v>3941</v>
      </c>
    </row>
    <row r="12" spans="2:3">
      <c r="B12" s="65" t="s">
        <v>18</v>
      </c>
      <c r="C12" s="65">
        <v>6888</v>
      </c>
    </row>
    <row r="13" spans="2:3">
      <c r="B13" s="65" t="s">
        <v>37</v>
      </c>
      <c r="C13" s="65">
        <v>2154</v>
      </c>
    </row>
    <row r="14" spans="2:3">
      <c r="B14" s="65" t="s">
        <v>20</v>
      </c>
      <c r="C14" s="65">
        <v>4006</v>
      </c>
    </row>
    <row r="15" spans="2:3">
      <c r="B15" s="65" t="s">
        <v>21</v>
      </c>
      <c r="C15" s="65">
        <v>7109</v>
      </c>
    </row>
    <row r="16" spans="2:3">
      <c r="B16" s="65" t="s">
        <v>22</v>
      </c>
      <c r="C16" s="65">
        <v>9356</v>
      </c>
    </row>
    <row r="17" spans="2:3">
      <c r="B17" s="65" t="s">
        <v>23</v>
      </c>
      <c r="C17" s="65">
        <v>5274</v>
      </c>
    </row>
    <row r="18" spans="2:3">
      <c r="B18" s="65" t="s">
        <v>24</v>
      </c>
      <c r="C18" s="65">
        <v>1579</v>
      </c>
    </row>
    <row r="19" spans="2:3">
      <c r="B19" s="65" t="s">
        <v>25</v>
      </c>
      <c r="C19" s="65">
        <v>3948</v>
      </c>
    </row>
    <row r="20" spans="2:3">
      <c r="B20" s="65" t="s">
        <v>26</v>
      </c>
      <c r="C20" s="65">
        <v>4445</v>
      </c>
    </row>
    <row r="21" spans="2:3">
      <c r="B21" s="65" t="s">
        <v>27</v>
      </c>
      <c r="C21" s="65">
        <v>6591</v>
      </c>
    </row>
    <row r="22" spans="2:3">
      <c r="B22" s="65" t="s">
        <v>28</v>
      </c>
      <c r="C22" s="65">
        <v>9716</v>
      </c>
    </row>
    <row r="23" spans="2:3">
      <c r="B23" s="65" t="s">
        <v>38</v>
      </c>
      <c r="C23" s="65">
        <v>9127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42E4-BA51-4D00-AB07-665B0CFE37AA}">
  <dimension ref="B1:D23"/>
  <sheetViews>
    <sheetView workbookViewId="0">
      <selection activeCell="D5" sqref="D5"/>
    </sheetView>
  </sheetViews>
  <sheetFormatPr defaultRowHeight="15"/>
  <cols>
    <col min="2" max="2" width="15.28515625" bestFit="1" customWidth="1"/>
    <col min="3" max="3" width="12.140625" bestFit="1" customWidth="1"/>
    <col min="4" max="4" width="16.7109375" bestFit="1" customWidth="1"/>
  </cols>
  <sheetData>
    <row r="1" spans="2:4" ht="15.75">
      <c r="B1" s="39"/>
      <c r="C1" s="39"/>
      <c r="D1" s="39"/>
    </row>
    <row r="2" spans="2:4" ht="15.75">
      <c r="B2" s="40" t="s">
        <v>53</v>
      </c>
      <c r="C2" s="71" t="s">
        <v>40</v>
      </c>
      <c r="D2" s="72"/>
    </row>
    <row r="4" spans="2:4">
      <c r="B4" s="11" t="s">
        <v>0</v>
      </c>
      <c r="C4" s="11" t="s">
        <v>41</v>
      </c>
      <c r="D4" s="11" t="s">
        <v>54</v>
      </c>
    </row>
    <row r="5" spans="2:4">
      <c r="B5" s="10" t="s">
        <v>14</v>
      </c>
      <c r="C5" s="65" t="s">
        <v>43</v>
      </c>
      <c r="D5" s="65">
        <f>AVERAGEIFS(D8:D23,B8:B23,B5,C8:C23,C5)</f>
        <v>944</v>
      </c>
    </row>
    <row r="6" spans="2:4">
      <c r="B6" s="3"/>
      <c r="C6" s="3"/>
      <c r="D6" s="3"/>
    </row>
    <row r="7" spans="2:4">
      <c r="B7" s="9" t="s">
        <v>0</v>
      </c>
      <c r="C7" s="9"/>
      <c r="D7" s="9" t="s">
        <v>36</v>
      </c>
    </row>
    <row r="8" spans="2:4">
      <c r="B8" s="65" t="s">
        <v>14</v>
      </c>
      <c r="C8" s="65" t="s">
        <v>43</v>
      </c>
      <c r="D8" s="65">
        <v>944</v>
      </c>
    </row>
    <row r="9" spans="2:4">
      <c r="B9" s="65" t="s">
        <v>15</v>
      </c>
      <c r="C9" s="65" t="s">
        <v>44</v>
      </c>
      <c r="D9" s="65">
        <v>8119</v>
      </c>
    </row>
    <row r="10" spans="2:4">
      <c r="B10" s="65" t="s">
        <v>16</v>
      </c>
      <c r="C10" s="65" t="s">
        <v>45</v>
      </c>
      <c r="D10" s="65">
        <v>7353</v>
      </c>
    </row>
    <row r="11" spans="2:4">
      <c r="B11" s="65" t="s">
        <v>17</v>
      </c>
      <c r="C11" s="65" t="s">
        <v>46</v>
      </c>
      <c r="D11" s="65">
        <v>3941</v>
      </c>
    </row>
    <row r="12" spans="2:4">
      <c r="B12" s="65" t="s">
        <v>18</v>
      </c>
      <c r="C12" s="65" t="s">
        <v>47</v>
      </c>
      <c r="D12" s="65">
        <v>6888</v>
      </c>
    </row>
    <row r="13" spans="2:4">
      <c r="B13" s="65" t="s">
        <v>37</v>
      </c>
      <c r="C13" s="65" t="s">
        <v>48</v>
      </c>
      <c r="D13" s="65">
        <v>2154</v>
      </c>
    </row>
    <row r="14" spans="2:4">
      <c r="B14" s="65" t="s">
        <v>20</v>
      </c>
      <c r="C14" s="65" t="s">
        <v>49</v>
      </c>
      <c r="D14" s="65">
        <v>4006</v>
      </c>
    </row>
    <row r="15" spans="2:4">
      <c r="B15" s="65" t="s">
        <v>21</v>
      </c>
      <c r="C15" s="65" t="s">
        <v>43</v>
      </c>
      <c r="D15" s="65">
        <v>7109</v>
      </c>
    </row>
    <row r="16" spans="2:4">
      <c r="B16" s="65" t="s">
        <v>22</v>
      </c>
      <c r="C16" s="65" t="s">
        <v>44</v>
      </c>
      <c r="D16" s="65">
        <v>9356</v>
      </c>
    </row>
    <row r="17" spans="2:4">
      <c r="B17" s="65" t="s">
        <v>23</v>
      </c>
      <c r="C17" s="65" t="s">
        <v>45</v>
      </c>
      <c r="D17" s="65">
        <v>5274</v>
      </c>
    </row>
    <row r="18" spans="2:4">
      <c r="B18" s="65" t="s">
        <v>24</v>
      </c>
      <c r="C18" s="65" t="s">
        <v>46</v>
      </c>
      <c r="D18" s="65">
        <v>1579</v>
      </c>
    </row>
    <row r="19" spans="2:4">
      <c r="B19" s="65" t="s">
        <v>25</v>
      </c>
      <c r="C19" s="65" t="s">
        <v>47</v>
      </c>
      <c r="D19" s="65">
        <v>3948</v>
      </c>
    </row>
    <row r="20" spans="2:4">
      <c r="B20" s="65" t="s">
        <v>26</v>
      </c>
      <c r="C20" s="65" t="s">
        <v>48</v>
      </c>
      <c r="D20" s="65">
        <v>4445</v>
      </c>
    </row>
    <row r="21" spans="2:4">
      <c r="B21" s="65" t="s">
        <v>27</v>
      </c>
      <c r="C21" s="65" t="s">
        <v>49</v>
      </c>
      <c r="D21" s="65">
        <v>6591</v>
      </c>
    </row>
    <row r="22" spans="2:4">
      <c r="B22" s="65" t="s">
        <v>28</v>
      </c>
      <c r="C22" s="65" t="s">
        <v>43</v>
      </c>
      <c r="D22" s="65">
        <v>9716</v>
      </c>
    </row>
    <row r="23" spans="2:4">
      <c r="B23" s="12" t="s">
        <v>38</v>
      </c>
      <c r="C23" s="12" t="s">
        <v>44</v>
      </c>
      <c r="D23" s="12">
        <v>9127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3B4C-1B8E-41B3-95EE-19A008DB8BE8}">
  <dimension ref="B2:D10"/>
  <sheetViews>
    <sheetView workbookViewId="0">
      <selection activeCell="D3" sqref="D3"/>
    </sheetView>
  </sheetViews>
  <sheetFormatPr defaultRowHeight="15"/>
  <cols>
    <col min="4" max="4" width="6.28515625" bestFit="1" customWidth="1"/>
  </cols>
  <sheetData>
    <row r="2" spans="2:4">
      <c r="B2" s="9" t="s">
        <v>55</v>
      </c>
      <c r="C2" s="9" t="s">
        <v>56</v>
      </c>
      <c r="D2" s="9" t="s">
        <v>57</v>
      </c>
    </row>
    <row r="3" spans="2:4">
      <c r="B3" s="65" t="s">
        <v>58</v>
      </c>
      <c r="C3" s="65">
        <v>91</v>
      </c>
      <c r="D3" s="55" t="str">
        <f>IF(C3&gt;=96,"A+", IF(C3&gt;=90,"A", IF(C3&gt;=86,"A-", IF(C3&gt;=80,"B+",IF(C3&gt;=76,"B", IF(C3&gt;=70,"B-"))))))</f>
        <v>A</v>
      </c>
    </row>
    <row r="4" spans="2:4">
      <c r="B4" s="65" t="s">
        <v>59</v>
      </c>
      <c r="C4" s="65">
        <v>95</v>
      </c>
      <c r="D4" s="55" t="str">
        <f t="shared" ref="D4:D10" si="0">IF(C4&gt;=96,"A+", IF(C4&gt;=90,"A", IF(C4&gt;=86,"A-", IF(C4&gt;=80,"B+",IF(C4&gt;=76,"B", IF(C4&gt;=70,"B-"))))))</f>
        <v>A</v>
      </c>
    </row>
    <row r="5" spans="2:4">
      <c r="B5" s="65" t="s">
        <v>60</v>
      </c>
      <c r="C5" s="65">
        <v>82</v>
      </c>
      <c r="D5" s="55" t="str">
        <f t="shared" si="0"/>
        <v>B+</v>
      </c>
    </row>
    <row r="6" spans="2:4">
      <c r="B6" s="65" t="s">
        <v>61</v>
      </c>
      <c r="C6" s="65">
        <v>88</v>
      </c>
      <c r="D6" s="55" t="str">
        <f t="shared" si="0"/>
        <v>A-</v>
      </c>
    </row>
    <row r="7" spans="2:4">
      <c r="B7" s="65" t="s">
        <v>62</v>
      </c>
      <c r="C7" s="65">
        <v>97</v>
      </c>
      <c r="D7" s="55" t="str">
        <f t="shared" si="0"/>
        <v>A+</v>
      </c>
    </row>
    <row r="8" spans="2:4">
      <c r="B8" s="65" t="s">
        <v>63</v>
      </c>
      <c r="C8" s="65">
        <v>85</v>
      </c>
      <c r="D8" s="55" t="str">
        <f t="shared" si="0"/>
        <v>B+</v>
      </c>
    </row>
    <row r="9" spans="2:4">
      <c r="B9" s="65" t="s">
        <v>64</v>
      </c>
      <c r="C9" s="65">
        <v>77</v>
      </c>
      <c r="D9" s="55" t="str">
        <f t="shared" si="0"/>
        <v>B</v>
      </c>
    </row>
    <row r="10" spans="2:4">
      <c r="B10" s="65" t="s">
        <v>65</v>
      </c>
      <c r="C10" s="65">
        <v>73</v>
      </c>
      <c r="D10" s="55" t="str">
        <f t="shared" si="0"/>
        <v>B-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99F6-8C77-45A1-9439-2FCE75148400}">
  <dimension ref="B2:G25"/>
  <sheetViews>
    <sheetView topLeftCell="A4" workbookViewId="0">
      <selection activeCell="D6" sqref="D6"/>
    </sheetView>
  </sheetViews>
  <sheetFormatPr defaultRowHeight="15"/>
  <cols>
    <col min="2" max="2" width="15.28515625" bestFit="1" customWidth="1"/>
    <col min="3" max="3" width="36.5703125" bestFit="1" customWidth="1"/>
    <col min="4" max="4" width="14.5703125" bestFit="1" customWidth="1"/>
  </cols>
  <sheetData>
    <row r="2" spans="2:7" ht="15.75">
      <c r="B2" s="18" t="s">
        <v>66</v>
      </c>
      <c r="C2" s="75" t="s">
        <v>67</v>
      </c>
      <c r="D2" s="76"/>
      <c r="E2" s="17"/>
      <c r="F2" s="17"/>
      <c r="G2" s="17"/>
    </row>
    <row r="3" spans="2:7" ht="15.75">
      <c r="B3" s="19" t="s">
        <v>68</v>
      </c>
      <c r="C3" s="73" t="s">
        <v>69</v>
      </c>
      <c r="D3" s="74"/>
      <c r="E3" s="13"/>
      <c r="F3" s="13"/>
      <c r="G3" s="13"/>
    </row>
    <row r="4" spans="2:7">
      <c r="B4" s="3"/>
      <c r="C4" s="3"/>
    </row>
    <row r="5" spans="2:7">
      <c r="B5" s="9" t="s">
        <v>70</v>
      </c>
      <c r="C5" s="66" t="s">
        <v>71</v>
      </c>
      <c r="D5" s="9" t="s">
        <v>72</v>
      </c>
    </row>
    <row r="6" spans="2:7">
      <c r="B6" s="12" t="s">
        <v>66</v>
      </c>
      <c r="C6" s="15">
        <f>COUNT(B10:B25)</f>
        <v>0</v>
      </c>
      <c r="D6" s="65">
        <f>COUNT(C10:C25)</f>
        <v>16</v>
      </c>
    </row>
    <row r="7" spans="2:7">
      <c r="B7" s="14" t="s">
        <v>68</v>
      </c>
      <c r="C7" s="65">
        <f>COUNTA(B10:B25)</f>
        <v>16</v>
      </c>
      <c r="D7" s="16">
        <f>COUNTA(C10:C25)</f>
        <v>16</v>
      </c>
    </row>
    <row r="8" spans="2:7">
      <c r="B8" s="3"/>
      <c r="C8" s="3"/>
    </row>
    <row r="9" spans="2:7">
      <c r="B9" s="9" t="s">
        <v>0</v>
      </c>
      <c r="C9" s="9" t="s">
        <v>36</v>
      </c>
    </row>
    <row r="10" spans="2:7">
      <c r="B10" s="65" t="s">
        <v>14</v>
      </c>
      <c r="C10" s="65">
        <v>944</v>
      </c>
    </row>
    <row r="11" spans="2:7">
      <c r="B11" s="65" t="s">
        <v>15</v>
      </c>
      <c r="C11" s="65">
        <v>8119</v>
      </c>
    </row>
    <row r="12" spans="2:7">
      <c r="B12" s="65" t="s">
        <v>16</v>
      </c>
      <c r="C12" s="65">
        <v>7353</v>
      </c>
    </row>
    <row r="13" spans="2:7">
      <c r="B13" s="65" t="s">
        <v>17</v>
      </c>
      <c r="C13" s="65">
        <v>3941</v>
      </c>
    </row>
    <row r="14" spans="2:7">
      <c r="B14" s="65" t="s">
        <v>18</v>
      </c>
      <c r="C14" s="65">
        <v>6888</v>
      </c>
    </row>
    <row r="15" spans="2:7">
      <c r="B15" s="65" t="s">
        <v>37</v>
      </c>
      <c r="C15" s="65">
        <v>2154</v>
      </c>
    </row>
    <row r="16" spans="2:7">
      <c r="B16" s="65" t="s">
        <v>20</v>
      </c>
      <c r="C16" s="65">
        <v>4006</v>
      </c>
    </row>
    <row r="17" spans="2:3">
      <c r="B17" s="65" t="s">
        <v>21</v>
      </c>
      <c r="C17" s="65">
        <v>7109</v>
      </c>
    </row>
    <row r="18" spans="2:3">
      <c r="B18" s="65" t="s">
        <v>22</v>
      </c>
      <c r="C18" s="65">
        <v>9356</v>
      </c>
    </row>
    <row r="19" spans="2:3">
      <c r="B19" s="65" t="s">
        <v>23</v>
      </c>
      <c r="C19" s="65">
        <v>5274</v>
      </c>
    </row>
    <row r="20" spans="2:3">
      <c r="B20" s="65" t="s">
        <v>24</v>
      </c>
      <c r="C20" s="65">
        <v>1579</v>
      </c>
    </row>
    <row r="21" spans="2:3">
      <c r="B21" s="65" t="s">
        <v>25</v>
      </c>
      <c r="C21" s="65">
        <v>3948</v>
      </c>
    </row>
    <row r="22" spans="2:3">
      <c r="B22" s="65" t="s">
        <v>26</v>
      </c>
      <c r="C22" s="65">
        <v>4445</v>
      </c>
    </row>
    <row r="23" spans="2:3">
      <c r="B23" s="65" t="s">
        <v>27</v>
      </c>
      <c r="C23" s="65">
        <v>6591</v>
      </c>
    </row>
    <row r="24" spans="2:3">
      <c r="B24" s="65" t="s">
        <v>28</v>
      </c>
      <c r="C24" s="65">
        <v>9716</v>
      </c>
    </row>
    <row r="25" spans="2:3">
      <c r="B25" s="65" t="s">
        <v>38</v>
      </c>
      <c r="C25" s="65">
        <v>9127</v>
      </c>
    </row>
  </sheetData>
  <mergeCells count="2">
    <mergeCell ref="C3:D3"/>
    <mergeCell ref="C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F0E8-8BE9-49BB-81B0-0CBE6B54BBBD}">
  <dimension ref="B2:AI14"/>
  <sheetViews>
    <sheetView workbookViewId="0">
      <selection activeCell="AG5" sqref="AG5"/>
    </sheetView>
  </sheetViews>
  <sheetFormatPr defaultRowHeight="15"/>
  <cols>
    <col min="1" max="1" width="2" bestFit="1" customWidth="1"/>
    <col min="2" max="2" width="15.140625" style="3" bestFit="1" customWidth="1"/>
    <col min="3" max="5" width="2" bestFit="1" customWidth="1"/>
    <col min="6" max="6" width="2.140625" bestFit="1" customWidth="1"/>
    <col min="7" max="10" width="2" bestFit="1" customWidth="1"/>
    <col min="11" max="11" width="2.140625" bestFit="1" customWidth="1"/>
    <col min="12" max="32" width="3" bestFit="1" customWidth="1"/>
    <col min="33" max="33" width="6.85546875" bestFit="1" customWidth="1"/>
    <col min="34" max="34" width="7" bestFit="1" customWidth="1"/>
    <col min="35" max="35" width="6.7109375" bestFit="1" customWidth="1"/>
  </cols>
  <sheetData>
    <row r="2" spans="2:35" ht="15.75">
      <c r="C2" s="77" t="s">
        <v>73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9"/>
    </row>
    <row r="4" spans="2:35" s="3" customFormat="1">
      <c r="B4" s="9" t="s">
        <v>74</v>
      </c>
      <c r="C4" s="9">
        <v>1</v>
      </c>
      <c r="D4" s="9">
        <v>2</v>
      </c>
      <c r="E4" s="9">
        <v>3</v>
      </c>
      <c r="F4" s="9">
        <v>4</v>
      </c>
      <c r="G4" s="9">
        <v>5</v>
      </c>
      <c r="H4" s="9">
        <v>6</v>
      </c>
      <c r="I4" s="9">
        <v>7</v>
      </c>
      <c r="J4" s="9">
        <v>8</v>
      </c>
      <c r="K4" s="9">
        <v>9</v>
      </c>
      <c r="L4" s="9">
        <v>10</v>
      </c>
      <c r="M4" s="9">
        <v>11</v>
      </c>
      <c r="N4" s="9">
        <v>12</v>
      </c>
      <c r="O4" s="9">
        <v>13</v>
      </c>
      <c r="P4" s="9">
        <v>14</v>
      </c>
      <c r="Q4" s="9">
        <v>15</v>
      </c>
      <c r="R4" s="9">
        <v>16</v>
      </c>
      <c r="S4" s="9">
        <v>17</v>
      </c>
      <c r="T4" s="9">
        <v>18</v>
      </c>
      <c r="U4" s="9">
        <v>19</v>
      </c>
      <c r="V4" s="9">
        <v>20</v>
      </c>
      <c r="W4" s="9">
        <v>21</v>
      </c>
      <c r="X4" s="9">
        <v>22</v>
      </c>
      <c r="Y4" s="9">
        <v>23</v>
      </c>
      <c r="Z4" s="9">
        <v>24</v>
      </c>
      <c r="AA4" s="9">
        <v>25</v>
      </c>
      <c r="AB4" s="9">
        <v>26</v>
      </c>
      <c r="AC4" s="9">
        <v>27</v>
      </c>
      <c r="AD4" s="9">
        <v>28</v>
      </c>
      <c r="AE4" s="9">
        <v>29</v>
      </c>
      <c r="AF4" s="9">
        <v>30</v>
      </c>
      <c r="AG4" s="9" t="s">
        <v>75</v>
      </c>
      <c r="AH4" s="9" t="s">
        <v>76</v>
      </c>
      <c r="AI4" s="9" t="s">
        <v>77</v>
      </c>
    </row>
    <row r="5" spans="2:35">
      <c r="B5" s="65" t="s">
        <v>78</v>
      </c>
      <c r="C5" s="8" t="s">
        <v>79</v>
      </c>
      <c r="D5" s="8" t="s">
        <v>80</v>
      </c>
      <c r="E5" s="8" t="s">
        <v>79</v>
      </c>
      <c r="F5" s="8" t="s">
        <v>79</v>
      </c>
      <c r="G5" s="8" t="s">
        <v>79</v>
      </c>
      <c r="H5" s="8" t="s">
        <v>79</v>
      </c>
      <c r="I5" s="8" t="s">
        <v>79</v>
      </c>
      <c r="J5" s="8" t="s">
        <v>79</v>
      </c>
      <c r="K5" s="8" t="s">
        <v>79</v>
      </c>
      <c r="L5" s="8" t="s">
        <v>79</v>
      </c>
      <c r="M5" s="8" t="s">
        <v>79</v>
      </c>
      <c r="N5" s="8" t="s">
        <v>79</v>
      </c>
      <c r="O5" s="8" t="s">
        <v>79</v>
      </c>
      <c r="P5" s="8" t="s">
        <v>79</v>
      </c>
      <c r="Q5" s="8" t="s">
        <v>79</v>
      </c>
      <c r="R5" s="8" t="s">
        <v>79</v>
      </c>
      <c r="S5" s="8" t="s">
        <v>79</v>
      </c>
      <c r="T5" s="8" t="s">
        <v>81</v>
      </c>
      <c r="U5" s="8" t="s">
        <v>79</v>
      </c>
      <c r="V5" s="8" t="s">
        <v>79</v>
      </c>
      <c r="W5" s="8" t="s">
        <v>79</v>
      </c>
      <c r="X5" s="8" t="s">
        <v>79</v>
      </c>
      <c r="Y5" s="8" t="s">
        <v>79</v>
      </c>
      <c r="Z5" s="8" t="s">
        <v>79</v>
      </c>
      <c r="AA5" s="8" t="s">
        <v>79</v>
      </c>
      <c r="AB5" s="8" t="s">
        <v>79</v>
      </c>
      <c r="AC5" s="8" t="s">
        <v>79</v>
      </c>
      <c r="AD5" s="8" t="s">
        <v>79</v>
      </c>
      <c r="AE5" s="8" t="s">
        <v>79</v>
      </c>
      <c r="AF5" s="8" t="s">
        <v>79</v>
      </c>
      <c r="AG5" s="8">
        <f>COUNTIF(C5:AF5,"P")</f>
        <v>28</v>
      </c>
      <c r="AH5" s="8">
        <f>COUNTIF(C5:AF5,"A")</f>
        <v>1</v>
      </c>
      <c r="AI5" s="8">
        <f>COUNTIF(C5:AF5,"L")</f>
        <v>1</v>
      </c>
    </row>
    <row r="6" spans="2:35">
      <c r="B6" s="65" t="s">
        <v>82</v>
      </c>
      <c r="C6" s="8" t="s">
        <v>79</v>
      </c>
      <c r="D6" s="8" t="s">
        <v>79</v>
      </c>
      <c r="E6" s="8" t="s">
        <v>79</v>
      </c>
      <c r="F6" s="8" t="s">
        <v>79</v>
      </c>
      <c r="G6" s="8" t="s">
        <v>79</v>
      </c>
      <c r="H6" s="8" t="s">
        <v>79</v>
      </c>
      <c r="I6" s="8" t="s">
        <v>79</v>
      </c>
      <c r="J6" s="8" t="s">
        <v>79</v>
      </c>
      <c r="K6" s="8" t="s">
        <v>79</v>
      </c>
      <c r="L6" s="8" t="s">
        <v>79</v>
      </c>
      <c r="M6" s="8" t="s">
        <v>79</v>
      </c>
      <c r="N6" s="8" t="s">
        <v>79</v>
      </c>
      <c r="O6" s="8" t="s">
        <v>79</v>
      </c>
      <c r="P6" s="8" t="s">
        <v>79</v>
      </c>
      <c r="Q6" s="8" t="s">
        <v>79</v>
      </c>
      <c r="R6" s="8" t="s">
        <v>79</v>
      </c>
      <c r="S6" s="8" t="s">
        <v>79</v>
      </c>
      <c r="T6" s="8" t="s">
        <v>79</v>
      </c>
      <c r="U6" s="8" t="s">
        <v>79</v>
      </c>
      <c r="V6" s="8" t="s">
        <v>79</v>
      </c>
      <c r="W6" s="8" t="s">
        <v>79</v>
      </c>
      <c r="X6" s="8" t="s">
        <v>79</v>
      </c>
      <c r="Y6" s="8" t="s">
        <v>79</v>
      </c>
      <c r="Z6" s="8" t="s">
        <v>79</v>
      </c>
      <c r="AA6" s="8" t="s">
        <v>79</v>
      </c>
      <c r="AB6" s="8" t="s">
        <v>79</v>
      </c>
      <c r="AC6" s="8" t="s">
        <v>79</v>
      </c>
      <c r="AD6" s="8" t="s">
        <v>81</v>
      </c>
      <c r="AE6" s="8" t="s">
        <v>79</v>
      </c>
      <c r="AF6" s="8" t="s">
        <v>79</v>
      </c>
      <c r="AG6" s="8">
        <f t="shared" ref="AG6:AG14" si="0">COUNTIF(C6:AF6,"P")</f>
        <v>29</v>
      </c>
      <c r="AH6" s="8">
        <f t="shared" ref="AH6:AH14" si="1">COUNTIF(C6:AF6,"A")</f>
        <v>1</v>
      </c>
      <c r="AI6" s="8">
        <f t="shared" ref="AI6:AI14" si="2">COUNTIF(C6:AF6,"L")</f>
        <v>0</v>
      </c>
    </row>
    <row r="7" spans="2:35">
      <c r="B7" s="65" t="s">
        <v>83</v>
      </c>
      <c r="C7" s="8" t="s">
        <v>79</v>
      </c>
      <c r="D7" s="8" t="s">
        <v>79</v>
      </c>
      <c r="E7" s="8" t="s">
        <v>79</v>
      </c>
      <c r="F7" s="8" t="s">
        <v>79</v>
      </c>
      <c r="G7" s="8" t="s">
        <v>79</v>
      </c>
      <c r="H7" s="8" t="s">
        <v>79</v>
      </c>
      <c r="I7" s="8" t="s">
        <v>79</v>
      </c>
      <c r="J7" s="8" t="s">
        <v>79</v>
      </c>
      <c r="K7" s="8" t="s">
        <v>79</v>
      </c>
      <c r="L7" s="8" t="s">
        <v>79</v>
      </c>
      <c r="M7" s="8" t="s">
        <v>79</v>
      </c>
      <c r="N7" s="8" t="s">
        <v>79</v>
      </c>
      <c r="O7" s="8" t="s">
        <v>79</v>
      </c>
      <c r="P7" s="8" t="s">
        <v>79</v>
      </c>
      <c r="Q7" s="8" t="s">
        <v>79</v>
      </c>
      <c r="R7" s="8" t="s">
        <v>79</v>
      </c>
      <c r="S7" s="8" t="s">
        <v>79</v>
      </c>
      <c r="T7" s="8" t="s">
        <v>79</v>
      </c>
      <c r="U7" s="8" t="s">
        <v>79</v>
      </c>
      <c r="V7" s="8" t="s">
        <v>79</v>
      </c>
      <c r="W7" s="8" t="s">
        <v>79</v>
      </c>
      <c r="X7" s="8" t="s">
        <v>79</v>
      </c>
      <c r="Y7" s="8" t="s">
        <v>79</v>
      </c>
      <c r="Z7" s="8" t="s">
        <v>79</v>
      </c>
      <c r="AA7" s="8" t="s">
        <v>79</v>
      </c>
      <c r="AB7" s="8" t="s">
        <v>79</v>
      </c>
      <c r="AC7" s="8" t="s">
        <v>79</v>
      </c>
      <c r="AD7" s="8" t="s">
        <v>79</v>
      </c>
      <c r="AE7" s="8" t="s">
        <v>79</v>
      </c>
      <c r="AF7" s="8" t="s">
        <v>79</v>
      </c>
      <c r="AG7" s="8">
        <f t="shared" si="0"/>
        <v>30</v>
      </c>
      <c r="AH7" s="8">
        <f t="shared" si="1"/>
        <v>0</v>
      </c>
      <c r="AI7" s="8">
        <f t="shared" si="2"/>
        <v>0</v>
      </c>
    </row>
    <row r="8" spans="2:35">
      <c r="B8" s="65" t="s">
        <v>84</v>
      </c>
      <c r="C8" s="8" t="s">
        <v>79</v>
      </c>
      <c r="D8" s="8" t="s">
        <v>79</v>
      </c>
      <c r="E8" s="8" t="s">
        <v>79</v>
      </c>
      <c r="F8" s="8" t="s">
        <v>81</v>
      </c>
      <c r="G8" s="8" t="s">
        <v>79</v>
      </c>
      <c r="H8" s="8" t="s">
        <v>79</v>
      </c>
      <c r="I8" s="8" t="s">
        <v>79</v>
      </c>
      <c r="J8" s="8" t="s">
        <v>80</v>
      </c>
      <c r="K8" s="8" t="s">
        <v>79</v>
      </c>
      <c r="L8" s="8" t="s">
        <v>79</v>
      </c>
      <c r="M8" s="8" t="s">
        <v>79</v>
      </c>
      <c r="N8" s="8" t="s">
        <v>79</v>
      </c>
      <c r="O8" s="8" t="s">
        <v>79</v>
      </c>
      <c r="P8" s="8" t="s">
        <v>79</v>
      </c>
      <c r="Q8" s="8" t="s">
        <v>79</v>
      </c>
      <c r="R8" s="8" t="s">
        <v>79</v>
      </c>
      <c r="S8" s="8" t="s">
        <v>79</v>
      </c>
      <c r="T8" s="8" t="s">
        <v>79</v>
      </c>
      <c r="U8" s="8" t="s">
        <v>79</v>
      </c>
      <c r="V8" s="8" t="s">
        <v>79</v>
      </c>
      <c r="W8" s="8" t="s">
        <v>79</v>
      </c>
      <c r="X8" s="8" t="s">
        <v>79</v>
      </c>
      <c r="Y8" s="8" t="s">
        <v>79</v>
      </c>
      <c r="Z8" s="8" t="s">
        <v>79</v>
      </c>
      <c r="AA8" s="8" t="s">
        <v>79</v>
      </c>
      <c r="AB8" s="8" t="s">
        <v>79</v>
      </c>
      <c r="AC8" s="8" t="s">
        <v>79</v>
      </c>
      <c r="AD8" s="8" t="s">
        <v>81</v>
      </c>
      <c r="AE8" s="8" t="s">
        <v>79</v>
      </c>
      <c r="AF8" s="8" t="s">
        <v>79</v>
      </c>
      <c r="AG8" s="8">
        <f t="shared" si="0"/>
        <v>27</v>
      </c>
      <c r="AH8" s="8">
        <f t="shared" si="1"/>
        <v>2</v>
      </c>
      <c r="AI8" s="8">
        <f t="shared" si="2"/>
        <v>1</v>
      </c>
    </row>
    <row r="9" spans="2:35">
      <c r="B9" s="65" t="s">
        <v>85</v>
      </c>
      <c r="C9" s="8" t="s">
        <v>79</v>
      </c>
      <c r="D9" s="8" t="s">
        <v>79</v>
      </c>
      <c r="E9" s="8" t="s">
        <v>79</v>
      </c>
      <c r="F9" s="8" t="s">
        <v>79</v>
      </c>
      <c r="G9" s="8" t="s">
        <v>79</v>
      </c>
      <c r="H9" s="8" t="s">
        <v>79</v>
      </c>
      <c r="I9" s="8" t="s">
        <v>79</v>
      </c>
      <c r="J9" s="8" t="s">
        <v>79</v>
      </c>
      <c r="K9" s="8" t="s">
        <v>79</v>
      </c>
      <c r="L9" s="8" t="s">
        <v>79</v>
      </c>
      <c r="M9" s="8" t="s">
        <v>79</v>
      </c>
      <c r="N9" s="8" t="s">
        <v>79</v>
      </c>
      <c r="O9" s="8" t="s">
        <v>79</v>
      </c>
      <c r="P9" s="8" t="s">
        <v>79</v>
      </c>
      <c r="Q9" s="8" t="s">
        <v>79</v>
      </c>
      <c r="R9" s="8" t="s">
        <v>79</v>
      </c>
      <c r="S9" s="8" t="s">
        <v>79</v>
      </c>
      <c r="T9" s="8" t="s">
        <v>79</v>
      </c>
      <c r="U9" s="8" t="s">
        <v>79</v>
      </c>
      <c r="V9" s="8" t="s">
        <v>79</v>
      </c>
      <c r="W9" s="8" t="s">
        <v>79</v>
      </c>
      <c r="X9" s="8" t="s">
        <v>79</v>
      </c>
      <c r="Y9" s="8" t="s">
        <v>79</v>
      </c>
      <c r="Z9" s="8" t="s">
        <v>79</v>
      </c>
      <c r="AA9" s="8" t="s">
        <v>79</v>
      </c>
      <c r="AB9" s="8" t="s">
        <v>79</v>
      </c>
      <c r="AC9" s="8" t="s">
        <v>79</v>
      </c>
      <c r="AD9" s="8" t="s">
        <v>79</v>
      </c>
      <c r="AE9" s="8" t="s">
        <v>79</v>
      </c>
      <c r="AF9" s="8" t="s">
        <v>79</v>
      </c>
      <c r="AG9" s="8">
        <f t="shared" si="0"/>
        <v>30</v>
      </c>
      <c r="AH9" s="8">
        <f t="shared" si="1"/>
        <v>0</v>
      </c>
      <c r="AI9" s="8">
        <f t="shared" si="2"/>
        <v>0</v>
      </c>
    </row>
    <row r="10" spans="2:35">
      <c r="B10" s="65" t="s">
        <v>86</v>
      </c>
      <c r="C10" s="8" t="s">
        <v>79</v>
      </c>
      <c r="D10" s="8" t="s">
        <v>79</v>
      </c>
      <c r="E10" s="8" t="s">
        <v>79</v>
      </c>
      <c r="F10" s="8" t="s">
        <v>79</v>
      </c>
      <c r="G10" s="8" t="s">
        <v>79</v>
      </c>
      <c r="H10" s="8" t="s">
        <v>79</v>
      </c>
      <c r="I10" s="8" t="s">
        <v>79</v>
      </c>
      <c r="J10" s="8" t="s">
        <v>79</v>
      </c>
      <c r="K10" s="8" t="s">
        <v>79</v>
      </c>
      <c r="L10" s="8" t="s">
        <v>79</v>
      </c>
      <c r="M10" s="8" t="s">
        <v>79</v>
      </c>
      <c r="N10" s="8" t="s">
        <v>79</v>
      </c>
      <c r="O10" s="8" t="s">
        <v>79</v>
      </c>
      <c r="P10" s="8" t="s">
        <v>79</v>
      </c>
      <c r="Q10" s="8" t="s">
        <v>79</v>
      </c>
      <c r="R10" s="8" t="s">
        <v>79</v>
      </c>
      <c r="S10" s="8" t="s">
        <v>79</v>
      </c>
      <c r="T10" s="8" t="s">
        <v>79</v>
      </c>
      <c r="U10" s="8" t="s">
        <v>79</v>
      </c>
      <c r="V10" s="8" t="s">
        <v>79</v>
      </c>
      <c r="W10" s="8" t="s">
        <v>79</v>
      </c>
      <c r="X10" s="8" t="s">
        <v>79</v>
      </c>
      <c r="Y10" s="8" t="s">
        <v>79</v>
      </c>
      <c r="Z10" s="8" t="s">
        <v>79</v>
      </c>
      <c r="AA10" s="8" t="s">
        <v>79</v>
      </c>
      <c r="AB10" s="8" t="s">
        <v>79</v>
      </c>
      <c r="AC10" s="8" t="s">
        <v>79</v>
      </c>
      <c r="AD10" s="8" t="s">
        <v>79</v>
      </c>
      <c r="AE10" s="8" t="s">
        <v>79</v>
      </c>
      <c r="AF10" s="8" t="s">
        <v>79</v>
      </c>
      <c r="AG10" s="8">
        <f t="shared" si="0"/>
        <v>30</v>
      </c>
      <c r="AH10" s="8">
        <f t="shared" si="1"/>
        <v>0</v>
      </c>
      <c r="AI10" s="8">
        <f t="shared" si="2"/>
        <v>0</v>
      </c>
    </row>
    <row r="11" spans="2:35">
      <c r="B11" s="65" t="s">
        <v>87</v>
      </c>
      <c r="C11" s="8" t="s">
        <v>79</v>
      </c>
      <c r="D11" s="8" t="s">
        <v>79</v>
      </c>
      <c r="E11" s="8" t="s">
        <v>79</v>
      </c>
      <c r="F11" s="8" t="s">
        <v>79</v>
      </c>
      <c r="G11" s="8" t="s">
        <v>79</v>
      </c>
      <c r="H11" s="8" t="s">
        <v>79</v>
      </c>
      <c r="I11" s="8" t="s">
        <v>79</v>
      </c>
      <c r="J11" s="8" t="s">
        <v>79</v>
      </c>
      <c r="K11" s="8" t="s">
        <v>81</v>
      </c>
      <c r="L11" s="8" t="s">
        <v>79</v>
      </c>
      <c r="M11" s="8" t="s">
        <v>79</v>
      </c>
      <c r="N11" s="8" t="s">
        <v>79</v>
      </c>
      <c r="O11" s="8" t="s">
        <v>79</v>
      </c>
      <c r="P11" s="8" t="s">
        <v>79</v>
      </c>
      <c r="Q11" s="8" t="s">
        <v>79</v>
      </c>
      <c r="R11" s="8" t="s">
        <v>79</v>
      </c>
      <c r="S11" s="8" t="s">
        <v>79</v>
      </c>
      <c r="T11" s="8" t="s">
        <v>79</v>
      </c>
      <c r="U11" s="8" t="s">
        <v>79</v>
      </c>
      <c r="V11" s="8" t="s">
        <v>79</v>
      </c>
      <c r="W11" s="8" t="s">
        <v>79</v>
      </c>
      <c r="X11" s="8" t="s">
        <v>79</v>
      </c>
      <c r="Y11" s="8" t="s">
        <v>79</v>
      </c>
      <c r="Z11" s="8" t="s">
        <v>79</v>
      </c>
      <c r="AA11" s="8" t="s">
        <v>79</v>
      </c>
      <c r="AB11" s="8" t="s">
        <v>79</v>
      </c>
      <c r="AC11" s="8" t="s">
        <v>79</v>
      </c>
      <c r="AD11" s="8" t="s">
        <v>79</v>
      </c>
      <c r="AE11" s="8" t="s">
        <v>79</v>
      </c>
      <c r="AF11" s="8" t="s">
        <v>79</v>
      </c>
      <c r="AG11" s="8">
        <f t="shared" si="0"/>
        <v>29</v>
      </c>
      <c r="AH11" s="8">
        <f t="shared" si="1"/>
        <v>1</v>
      </c>
      <c r="AI11" s="8">
        <f t="shared" si="2"/>
        <v>0</v>
      </c>
    </row>
    <row r="12" spans="2:35">
      <c r="B12" s="65" t="s">
        <v>88</v>
      </c>
      <c r="C12" s="8" t="s">
        <v>79</v>
      </c>
      <c r="D12" s="8" t="s">
        <v>79</v>
      </c>
      <c r="E12" s="8" t="s">
        <v>79</v>
      </c>
      <c r="F12" s="8" t="s">
        <v>79</v>
      </c>
      <c r="G12" s="8" t="s">
        <v>79</v>
      </c>
      <c r="H12" s="8" t="s">
        <v>79</v>
      </c>
      <c r="I12" s="8" t="s">
        <v>79</v>
      </c>
      <c r="J12" s="8" t="s">
        <v>79</v>
      </c>
      <c r="K12" s="8" t="s">
        <v>79</v>
      </c>
      <c r="L12" s="8" t="s">
        <v>79</v>
      </c>
      <c r="M12" s="8" t="s">
        <v>79</v>
      </c>
      <c r="N12" s="8" t="s">
        <v>79</v>
      </c>
      <c r="O12" s="8" t="s">
        <v>79</v>
      </c>
      <c r="P12" s="8" t="s">
        <v>79</v>
      </c>
      <c r="Q12" s="8" t="s">
        <v>79</v>
      </c>
      <c r="R12" s="8" t="s">
        <v>79</v>
      </c>
      <c r="S12" s="8" t="s">
        <v>79</v>
      </c>
      <c r="T12" s="8" t="s">
        <v>79</v>
      </c>
      <c r="U12" s="8" t="s">
        <v>79</v>
      </c>
      <c r="V12" s="8" t="s">
        <v>79</v>
      </c>
      <c r="W12" s="8" t="s">
        <v>81</v>
      </c>
      <c r="X12" s="8" t="s">
        <v>79</v>
      </c>
      <c r="Y12" s="8" t="s">
        <v>79</v>
      </c>
      <c r="Z12" s="8" t="s">
        <v>79</v>
      </c>
      <c r="AA12" s="8" t="s">
        <v>79</v>
      </c>
      <c r="AB12" s="8" t="s">
        <v>79</v>
      </c>
      <c r="AC12" s="8" t="s">
        <v>79</v>
      </c>
      <c r="AD12" s="8" t="s">
        <v>79</v>
      </c>
      <c r="AE12" s="8" t="s">
        <v>79</v>
      </c>
      <c r="AF12" s="8" t="s">
        <v>79</v>
      </c>
      <c r="AG12" s="8">
        <f t="shared" si="0"/>
        <v>29</v>
      </c>
      <c r="AH12" s="8">
        <f t="shared" si="1"/>
        <v>1</v>
      </c>
      <c r="AI12" s="8">
        <f t="shared" si="2"/>
        <v>0</v>
      </c>
    </row>
    <row r="13" spans="2:35">
      <c r="B13" s="65" t="s">
        <v>89</v>
      </c>
      <c r="C13" s="8" t="s">
        <v>79</v>
      </c>
      <c r="D13" s="8" t="s">
        <v>79</v>
      </c>
      <c r="E13" s="8" t="s">
        <v>79</v>
      </c>
      <c r="F13" s="8" t="s">
        <v>79</v>
      </c>
      <c r="G13" s="8" t="s">
        <v>79</v>
      </c>
      <c r="H13" s="8" t="s">
        <v>79</v>
      </c>
      <c r="I13" s="8" t="s">
        <v>79</v>
      </c>
      <c r="J13" s="8" t="s">
        <v>79</v>
      </c>
      <c r="K13" s="8" t="s">
        <v>79</v>
      </c>
      <c r="L13" s="8" t="s">
        <v>79</v>
      </c>
      <c r="M13" s="8" t="s">
        <v>81</v>
      </c>
      <c r="N13" s="8" t="s">
        <v>79</v>
      </c>
      <c r="O13" s="8" t="s">
        <v>79</v>
      </c>
      <c r="P13" s="8" t="s">
        <v>80</v>
      </c>
      <c r="Q13" s="8" t="s">
        <v>79</v>
      </c>
      <c r="R13" s="8" t="s">
        <v>79</v>
      </c>
      <c r="S13" s="8" t="s">
        <v>79</v>
      </c>
      <c r="T13" s="8" t="s">
        <v>79</v>
      </c>
      <c r="U13" s="8" t="s">
        <v>79</v>
      </c>
      <c r="V13" s="8" t="s">
        <v>79</v>
      </c>
      <c r="W13" s="8" t="s">
        <v>79</v>
      </c>
      <c r="X13" s="8" t="s">
        <v>79</v>
      </c>
      <c r="Y13" s="8" t="s">
        <v>79</v>
      </c>
      <c r="Z13" s="8" t="s">
        <v>79</v>
      </c>
      <c r="AA13" s="8" t="s">
        <v>79</v>
      </c>
      <c r="AB13" s="8" t="s">
        <v>79</v>
      </c>
      <c r="AC13" s="8" t="s">
        <v>79</v>
      </c>
      <c r="AD13" s="8" t="s">
        <v>79</v>
      </c>
      <c r="AE13" s="8" t="s">
        <v>79</v>
      </c>
      <c r="AF13" s="8" t="s">
        <v>79</v>
      </c>
      <c r="AG13" s="8">
        <f t="shared" si="0"/>
        <v>28</v>
      </c>
      <c r="AH13" s="8">
        <f t="shared" si="1"/>
        <v>1</v>
      </c>
      <c r="AI13" s="8">
        <f t="shared" si="2"/>
        <v>1</v>
      </c>
    </row>
    <row r="14" spans="2:35">
      <c r="B14" s="65" t="s">
        <v>90</v>
      </c>
      <c r="C14" s="8" t="s">
        <v>79</v>
      </c>
      <c r="D14" s="8" t="s">
        <v>79</v>
      </c>
      <c r="E14" s="8" t="s">
        <v>79</v>
      </c>
      <c r="F14" s="8" t="s">
        <v>79</v>
      </c>
      <c r="G14" s="8" t="s">
        <v>79</v>
      </c>
      <c r="H14" s="8" t="s">
        <v>79</v>
      </c>
      <c r="I14" s="8" t="s">
        <v>79</v>
      </c>
      <c r="J14" s="8" t="s">
        <v>79</v>
      </c>
      <c r="K14" s="8" t="s">
        <v>79</v>
      </c>
      <c r="L14" s="8" t="s">
        <v>79</v>
      </c>
      <c r="M14" s="8" t="s">
        <v>79</v>
      </c>
      <c r="N14" s="8" t="s">
        <v>79</v>
      </c>
      <c r="O14" s="8" t="s">
        <v>79</v>
      </c>
      <c r="P14" s="8" t="s">
        <v>79</v>
      </c>
      <c r="Q14" s="8" t="s">
        <v>79</v>
      </c>
      <c r="R14" s="8" t="s">
        <v>80</v>
      </c>
      <c r="S14" s="8" t="s">
        <v>79</v>
      </c>
      <c r="T14" s="8" t="s">
        <v>79</v>
      </c>
      <c r="U14" s="8" t="s">
        <v>79</v>
      </c>
      <c r="V14" s="8" t="s">
        <v>79</v>
      </c>
      <c r="W14" s="8" t="s">
        <v>79</v>
      </c>
      <c r="X14" s="8" t="s">
        <v>79</v>
      </c>
      <c r="Y14" s="8" t="s">
        <v>79</v>
      </c>
      <c r="Z14" s="8" t="s">
        <v>79</v>
      </c>
      <c r="AA14" s="8" t="s">
        <v>79</v>
      </c>
      <c r="AB14" s="8" t="s">
        <v>79</v>
      </c>
      <c r="AC14" s="8" t="s">
        <v>79</v>
      </c>
      <c r="AD14" s="8" t="s">
        <v>79</v>
      </c>
      <c r="AE14" s="8" t="s">
        <v>79</v>
      </c>
      <c r="AF14" s="8" t="s">
        <v>79</v>
      </c>
      <c r="AG14" s="8">
        <f t="shared" si="0"/>
        <v>29</v>
      </c>
      <c r="AH14" s="8">
        <f t="shared" si="1"/>
        <v>0</v>
      </c>
      <c r="AI14" s="8">
        <f t="shared" si="2"/>
        <v>1</v>
      </c>
    </row>
  </sheetData>
  <mergeCells count="1">
    <mergeCell ref="C2:A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12D-EAA9-4C6D-8D6D-6BAD5F6EC71C}">
  <dimension ref="B2:H39"/>
  <sheetViews>
    <sheetView workbookViewId="0">
      <selection activeCell="D5" sqref="D5"/>
    </sheetView>
  </sheetViews>
  <sheetFormatPr defaultRowHeight="15"/>
  <cols>
    <col min="2" max="2" width="15.28515625" bestFit="1" customWidth="1"/>
    <col min="3" max="3" width="12.140625" bestFit="1" customWidth="1"/>
    <col min="4" max="4" width="16.7109375" bestFit="1" customWidth="1"/>
  </cols>
  <sheetData>
    <row r="2" spans="2:8">
      <c r="B2" s="80" t="s">
        <v>91</v>
      </c>
      <c r="C2" s="81"/>
      <c r="D2" s="81"/>
      <c r="E2" s="81"/>
      <c r="F2" s="81"/>
      <c r="G2" s="81"/>
      <c r="H2" s="82"/>
    </row>
    <row r="4" spans="2:8">
      <c r="B4" s="11" t="s">
        <v>0</v>
      </c>
      <c r="C4" s="11" t="s">
        <v>41</v>
      </c>
      <c r="D4" s="11" t="s">
        <v>92</v>
      </c>
    </row>
    <row r="5" spans="2:8">
      <c r="B5" s="10" t="s">
        <v>14</v>
      </c>
      <c r="C5" s="65" t="s">
        <v>43</v>
      </c>
      <c r="D5" s="65">
        <f>COUNTIFS(B8:B39,B5,C8:C39,C5)</f>
        <v>2</v>
      </c>
    </row>
    <row r="6" spans="2:8">
      <c r="B6" s="3"/>
      <c r="C6" s="3"/>
      <c r="D6" s="3"/>
    </row>
    <row r="7" spans="2:8">
      <c r="B7" s="9" t="s">
        <v>0</v>
      </c>
      <c r="C7" s="9"/>
      <c r="D7" s="9" t="s">
        <v>36</v>
      </c>
    </row>
    <row r="8" spans="2:8">
      <c r="B8" s="65" t="s">
        <v>14</v>
      </c>
      <c r="C8" s="65" t="s">
        <v>43</v>
      </c>
      <c r="D8" s="65">
        <v>944</v>
      </c>
    </row>
    <row r="9" spans="2:8">
      <c r="B9" s="65" t="s">
        <v>15</v>
      </c>
      <c r="C9" s="65" t="s">
        <v>44</v>
      </c>
      <c r="D9" s="65">
        <v>8119</v>
      </c>
    </row>
    <row r="10" spans="2:8">
      <c r="B10" s="65" t="s">
        <v>16</v>
      </c>
      <c r="C10" s="65" t="s">
        <v>45</v>
      </c>
      <c r="D10" s="65">
        <v>7353</v>
      </c>
    </row>
    <row r="11" spans="2:8">
      <c r="B11" s="65" t="s">
        <v>17</v>
      </c>
      <c r="C11" s="65" t="s">
        <v>46</v>
      </c>
      <c r="D11" s="65">
        <v>3941</v>
      </c>
    </row>
    <row r="12" spans="2:8">
      <c r="B12" s="65" t="s">
        <v>18</v>
      </c>
      <c r="C12" s="65" t="s">
        <v>47</v>
      </c>
      <c r="D12" s="65">
        <v>6888</v>
      </c>
    </row>
    <row r="13" spans="2:8">
      <c r="B13" s="65" t="s">
        <v>37</v>
      </c>
      <c r="C13" s="65" t="s">
        <v>48</v>
      </c>
      <c r="D13" s="65">
        <v>2154</v>
      </c>
    </row>
    <row r="14" spans="2:8">
      <c r="B14" s="65" t="s">
        <v>20</v>
      </c>
      <c r="C14" s="65" t="s">
        <v>49</v>
      </c>
      <c r="D14" s="65">
        <v>4006</v>
      </c>
    </row>
    <row r="15" spans="2:8">
      <c r="B15" s="65" t="s">
        <v>21</v>
      </c>
      <c r="C15" s="65" t="s">
        <v>43</v>
      </c>
      <c r="D15" s="65">
        <v>7109</v>
      </c>
    </row>
    <row r="16" spans="2:8">
      <c r="B16" s="65" t="s">
        <v>22</v>
      </c>
      <c r="C16" s="65" t="s">
        <v>44</v>
      </c>
      <c r="D16" s="65">
        <v>9356</v>
      </c>
    </row>
    <row r="17" spans="2:4">
      <c r="B17" s="65" t="s">
        <v>23</v>
      </c>
      <c r="C17" s="65" t="s">
        <v>45</v>
      </c>
      <c r="D17" s="65">
        <v>5274</v>
      </c>
    </row>
    <row r="18" spans="2:4">
      <c r="B18" s="65" t="s">
        <v>24</v>
      </c>
      <c r="C18" s="65" t="s">
        <v>46</v>
      </c>
      <c r="D18" s="65">
        <v>1579</v>
      </c>
    </row>
    <row r="19" spans="2:4">
      <c r="B19" s="65" t="s">
        <v>25</v>
      </c>
      <c r="C19" s="65" t="s">
        <v>47</v>
      </c>
      <c r="D19" s="65">
        <v>3948</v>
      </c>
    </row>
    <row r="20" spans="2:4">
      <c r="B20" s="65" t="s">
        <v>26</v>
      </c>
      <c r="C20" s="65" t="s">
        <v>48</v>
      </c>
      <c r="D20" s="65">
        <v>4445</v>
      </c>
    </row>
    <row r="21" spans="2:4">
      <c r="B21" s="65" t="s">
        <v>27</v>
      </c>
      <c r="C21" s="65" t="s">
        <v>49</v>
      </c>
      <c r="D21" s="65">
        <v>6591</v>
      </c>
    </row>
    <row r="22" spans="2:4">
      <c r="B22" s="65" t="s">
        <v>28</v>
      </c>
      <c r="C22" s="65" t="s">
        <v>43</v>
      </c>
      <c r="D22" s="65">
        <v>9716</v>
      </c>
    </row>
    <row r="23" spans="2:4">
      <c r="B23" s="12" t="s">
        <v>38</v>
      </c>
      <c r="C23" s="12" t="s">
        <v>44</v>
      </c>
      <c r="D23" s="12">
        <v>9127</v>
      </c>
    </row>
    <row r="24" spans="2:4">
      <c r="B24" s="65" t="s">
        <v>14</v>
      </c>
      <c r="C24" s="65" t="s">
        <v>43</v>
      </c>
      <c r="D24" s="65">
        <v>944</v>
      </c>
    </row>
    <row r="25" spans="2:4">
      <c r="B25" s="65" t="s">
        <v>15</v>
      </c>
      <c r="C25" s="65" t="s">
        <v>44</v>
      </c>
      <c r="D25" s="65">
        <v>8119</v>
      </c>
    </row>
    <row r="26" spans="2:4">
      <c r="B26" s="65" t="s">
        <v>16</v>
      </c>
      <c r="C26" s="65" t="s">
        <v>45</v>
      </c>
      <c r="D26" s="65">
        <v>7353</v>
      </c>
    </row>
    <row r="27" spans="2:4">
      <c r="B27" s="65" t="s">
        <v>17</v>
      </c>
      <c r="C27" s="65" t="s">
        <v>46</v>
      </c>
      <c r="D27" s="65">
        <v>3941</v>
      </c>
    </row>
    <row r="28" spans="2:4">
      <c r="B28" s="65" t="s">
        <v>18</v>
      </c>
      <c r="C28" s="65" t="s">
        <v>47</v>
      </c>
      <c r="D28" s="65">
        <v>6888</v>
      </c>
    </row>
    <row r="29" spans="2:4">
      <c r="B29" s="65" t="s">
        <v>37</v>
      </c>
      <c r="C29" s="65" t="s">
        <v>48</v>
      </c>
      <c r="D29" s="65">
        <v>2154</v>
      </c>
    </row>
    <row r="30" spans="2:4">
      <c r="B30" s="65" t="s">
        <v>20</v>
      </c>
      <c r="C30" s="65" t="s">
        <v>49</v>
      </c>
      <c r="D30" s="65">
        <v>4006</v>
      </c>
    </row>
    <row r="31" spans="2:4">
      <c r="B31" s="65" t="s">
        <v>21</v>
      </c>
      <c r="C31" s="65" t="s">
        <v>43</v>
      </c>
      <c r="D31" s="65">
        <v>7109</v>
      </c>
    </row>
    <row r="32" spans="2:4">
      <c r="B32" s="65" t="s">
        <v>22</v>
      </c>
      <c r="C32" s="65" t="s">
        <v>44</v>
      </c>
      <c r="D32" s="65">
        <v>9356</v>
      </c>
    </row>
    <row r="33" spans="2:4">
      <c r="B33" s="65" t="s">
        <v>23</v>
      </c>
      <c r="C33" s="65" t="s">
        <v>45</v>
      </c>
      <c r="D33" s="65">
        <v>5274</v>
      </c>
    </row>
    <row r="34" spans="2:4">
      <c r="B34" s="65" t="s">
        <v>24</v>
      </c>
      <c r="C34" s="65" t="s">
        <v>46</v>
      </c>
      <c r="D34" s="65">
        <v>1579</v>
      </c>
    </row>
    <row r="35" spans="2:4">
      <c r="B35" s="65" t="s">
        <v>25</v>
      </c>
      <c r="C35" s="65" t="s">
        <v>47</v>
      </c>
      <c r="D35" s="65">
        <v>3948</v>
      </c>
    </row>
    <row r="36" spans="2:4">
      <c r="B36" s="65" t="s">
        <v>26</v>
      </c>
      <c r="C36" s="65" t="s">
        <v>48</v>
      </c>
      <c r="D36" s="65">
        <v>4445</v>
      </c>
    </row>
    <row r="37" spans="2:4">
      <c r="B37" s="65" t="s">
        <v>27</v>
      </c>
      <c r="C37" s="65" t="s">
        <v>49</v>
      </c>
      <c r="D37" s="65">
        <v>6591</v>
      </c>
    </row>
    <row r="38" spans="2:4">
      <c r="B38" s="65" t="s">
        <v>28</v>
      </c>
      <c r="C38" s="65" t="s">
        <v>43</v>
      </c>
      <c r="D38" s="65">
        <v>9716</v>
      </c>
    </row>
    <row r="39" spans="2:4">
      <c r="B39" s="12" t="s">
        <v>38</v>
      </c>
      <c r="C39" s="12" t="s">
        <v>44</v>
      </c>
      <c r="D39" s="12">
        <v>9127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F136-1F63-430B-A3F8-52C82E418178}">
  <dimension ref="B2:C21"/>
  <sheetViews>
    <sheetView workbookViewId="0">
      <selection activeCell="C3" sqref="C3"/>
    </sheetView>
  </sheetViews>
  <sheetFormatPr defaultRowHeight="15"/>
  <cols>
    <col min="2" max="2" width="15.28515625" bestFit="1" customWidth="1"/>
    <col min="3" max="3" width="8.85546875" bestFit="1" customWidth="1"/>
  </cols>
  <sheetData>
    <row r="2" spans="2:3">
      <c r="B2" s="9" t="s">
        <v>93</v>
      </c>
      <c r="C2" s="9" t="s">
        <v>94</v>
      </c>
    </row>
    <row r="3" spans="2:3">
      <c r="B3" s="65">
        <f>MAX(C6:C21)</f>
        <v>9716</v>
      </c>
      <c r="C3" s="65">
        <f>MIN(C6:C21)</f>
        <v>944</v>
      </c>
    </row>
    <row r="4" spans="2:3">
      <c r="B4" s="3"/>
      <c r="C4" s="3"/>
    </row>
    <row r="5" spans="2:3">
      <c r="B5" s="9" t="s">
        <v>0</v>
      </c>
      <c r="C5" s="9" t="s">
        <v>36</v>
      </c>
    </row>
    <row r="6" spans="2:3">
      <c r="B6" s="65" t="s">
        <v>14</v>
      </c>
      <c r="C6" s="65">
        <v>944</v>
      </c>
    </row>
    <row r="7" spans="2:3">
      <c r="B7" s="65" t="s">
        <v>15</v>
      </c>
      <c r="C7" s="65">
        <v>8119</v>
      </c>
    </row>
    <row r="8" spans="2:3">
      <c r="B8" s="65" t="s">
        <v>16</v>
      </c>
      <c r="C8" s="65">
        <v>7353</v>
      </c>
    </row>
    <row r="9" spans="2:3">
      <c r="B9" s="65" t="s">
        <v>17</v>
      </c>
      <c r="C9" s="65">
        <v>3941</v>
      </c>
    </row>
    <row r="10" spans="2:3">
      <c r="B10" s="65" t="s">
        <v>18</v>
      </c>
      <c r="C10" s="65">
        <v>6888</v>
      </c>
    </row>
    <row r="11" spans="2:3">
      <c r="B11" s="65" t="s">
        <v>37</v>
      </c>
      <c r="C11" s="65">
        <v>2154</v>
      </c>
    </row>
    <row r="12" spans="2:3">
      <c r="B12" s="65" t="s">
        <v>20</v>
      </c>
      <c r="C12" s="65">
        <v>4006</v>
      </c>
    </row>
    <row r="13" spans="2:3">
      <c r="B13" s="65" t="s">
        <v>21</v>
      </c>
      <c r="C13" s="65">
        <v>7109</v>
      </c>
    </row>
    <row r="14" spans="2:3">
      <c r="B14" s="65" t="s">
        <v>22</v>
      </c>
      <c r="C14" s="65">
        <v>9356</v>
      </c>
    </row>
    <row r="15" spans="2:3">
      <c r="B15" s="65" t="s">
        <v>23</v>
      </c>
      <c r="C15" s="65">
        <v>5274</v>
      </c>
    </row>
    <row r="16" spans="2:3">
      <c r="B16" s="65" t="s">
        <v>24</v>
      </c>
      <c r="C16" s="65">
        <v>1579</v>
      </c>
    </row>
    <row r="17" spans="2:3">
      <c r="B17" s="65" t="s">
        <v>25</v>
      </c>
      <c r="C17" s="65">
        <v>3948</v>
      </c>
    </row>
    <row r="18" spans="2:3">
      <c r="B18" s="65" t="s">
        <v>26</v>
      </c>
      <c r="C18" s="65">
        <v>4445</v>
      </c>
    </row>
    <row r="19" spans="2:3">
      <c r="B19" s="65" t="s">
        <v>27</v>
      </c>
      <c r="C19" s="65">
        <v>6591</v>
      </c>
    </row>
    <row r="20" spans="2:3">
      <c r="B20" s="12" t="s">
        <v>28</v>
      </c>
      <c r="C20" s="12">
        <v>9716</v>
      </c>
    </row>
    <row r="21" spans="2:3">
      <c r="B21" s="65" t="s">
        <v>38</v>
      </c>
      <c r="C21" s="65">
        <v>9127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7264-91A5-463F-863F-6018C8F8A7A5}">
  <dimension ref="B2:L21"/>
  <sheetViews>
    <sheetView workbookViewId="0">
      <selection activeCell="E6" sqref="E6"/>
    </sheetView>
  </sheetViews>
  <sheetFormatPr defaultRowHeight="15"/>
  <cols>
    <col min="2" max="2" width="15.28515625" style="3" bestFit="1" customWidth="1"/>
    <col min="3" max="3" width="15.28515625" style="3" customWidth="1"/>
    <col min="4" max="4" width="10.140625" style="3" customWidth="1"/>
    <col min="5" max="5" width="9.140625" style="3"/>
  </cols>
  <sheetData>
    <row r="2" spans="2:12">
      <c r="B2" s="83" t="s">
        <v>95</v>
      </c>
      <c r="C2" s="84"/>
      <c r="D2" s="84"/>
      <c r="E2" s="31"/>
      <c r="F2" s="28"/>
      <c r="G2" s="29"/>
      <c r="H2" s="29"/>
      <c r="I2" s="30"/>
    </row>
    <row r="3" spans="2:12">
      <c r="B3" s="85" t="s">
        <v>96</v>
      </c>
      <c r="C3" s="86"/>
      <c r="D3" s="86"/>
      <c r="E3" s="86"/>
      <c r="F3" s="86"/>
      <c r="G3" s="86"/>
      <c r="H3" s="86"/>
      <c r="I3" s="87"/>
      <c r="J3" s="27"/>
      <c r="K3" s="27"/>
      <c r="L3" s="27"/>
    </row>
    <row r="5" spans="2:12">
      <c r="B5" s="22" t="s">
        <v>0</v>
      </c>
      <c r="C5" s="24" t="s">
        <v>97</v>
      </c>
      <c r="D5" s="23" t="s">
        <v>98</v>
      </c>
      <c r="E5" s="11" t="s">
        <v>13</v>
      </c>
    </row>
    <row r="6" spans="2:12">
      <c r="B6" s="20" t="s">
        <v>14</v>
      </c>
      <c r="C6" s="25">
        <v>9</v>
      </c>
      <c r="D6" s="14">
        <v>256</v>
      </c>
      <c r="E6" s="65">
        <f t="shared" ref="E6:E21" si="0">PRODUCT(C6:D6)</f>
        <v>2304</v>
      </c>
    </row>
    <row r="7" spans="2:12">
      <c r="B7" s="20" t="s">
        <v>15</v>
      </c>
      <c r="C7" s="25">
        <v>20</v>
      </c>
      <c r="D7" s="14">
        <v>931</v>
      </c>
      <c r="E7" s="65">
        <f t="shared" si="0"/>
        <v>18620</v>
      </c>
    </row>
    <row r="8" spans="2:12">
      <c r="B8" s="20" t="s">
        <v>16</v>
      </c>
      <c r="C8" s="25">
        <v>1</v>
      </c>
      <c r="D8" s="14">
        <v>390</v>
      </c>
      <c r="E8" s="65">
        <f t="shared" si="0"/>
        <v>390</v>
      </c>
    </row>
    <row r="9" spans="2:12">
      <c r="B9" s="20" t="s">
        <v>17</v>
      </c>
      <c r="C9" s="25">
        <v>13</v>
      </c>
      <c r="D9" s="14">
        <v>802</v>
      </c>
      <c r="E9" s="65">
        <f t="shared" si="0"/>
        <v>10426</v>
      </c>
    </row>
    <row r="10" spans="2:12">
      <c r="B10" s="20" t="s">
        <v>18</v>
      </c>
      <c r="C10" s="25">
        <v>11</v>
      </c>
      <c r="D10" s="14">
        <v>6888</v>
      </c>
      <c r="E10" s="65">
        <f t="shared" si="0"/>
        <v>75768</v>
      </c>
    </row>
    <row r="11" spans="2:12">
      <c r="B11" s="20" t="s">
        <v>37</v>
      </c>
      <c r="C11" s="25">
        <v>7</v>
      </c>
      <c r="D11" s="14">
        <v>2154</v>
      </c>
      <c r="E11" s="65">
        <f t="shared" si="0"/>
        <v>15078</v>
      </c>
    </row>
    <row r="12" spans="2:12">
      <c r="B12" s="20" t="s">
        <v>20</v>
      </c>
      <c r="C12" s="25">
        <v>6</v>
      </c>
      <c r="D12" s="14">
        <v>4006</v>
      </c>
      <c r="E12" s="65">
        <f t="shared" si="0"/>
        <v>24036</v>
      </c>
    </row>
    <row r="13" spans="2:12">
      <c r="B13" s="20" t="s">
        <v>21</v>
      </c>
      <c r="C13" s="25">
        <v>4</v>
      </c>
      <c r="D13" s="14">
        <v>7109</v>
      </c>
      <c r="E13" s="65">
        <f t="shared" si="0"/>
        <v>28436</v>
      </c>
    </row>
    <row r="14" spans="2:12">
      <c r="B14" s="20" t="s">
        <v>22</v>
      </c>
      <c r="C14" s="25">
        <v>14</v>
      </c>
      <c r="D14" s="14">
        <v>9356</v>
      </c>
      <c r="E14" s="65">
        <f t="shared" si="0"/>
        <v>130984</v>
      </c>
    </row>
    <row r="15" spans="2:12">
      <c r="B15" s="20" t="s">
        <v>23</v>
      </c>
      <c r="C15" s="25">
        <v>8</v>
      </c>
      <c r="D15" s="14">
        <v>5274</v>
      </c>
      <c r="E15" s="65">
        <f t="shared" si="0"/>
        <v>42192</v>
      </c>
    </row>
    <row r="16" spans="2:12">
      <c r="B16" s="20" t="s">
        <v>24</v>
      </c>
      <c r="C16" s="25">
        <v>18</v>
      </c>
      <c r="D16" s="14">
        <v>1579</v>
      </c>
      <c r="E16" s="65">
        <f t="shared" si="0"/>
        <v>28422</v>
      </c>
    </row>
    <row r="17" spans="2:5">
      <c r="B17" s="20" t="s">
        <v>25</v>
      </c>
      <c r="C17" s="25">
        <v>15</v>
      </c>
      <c r="D17" s="14">
        <v>3948</v>
      </c>
      <c r="E17" s="65">
        <f t="shared" si="0"/>
        <v>59220</v>
      </c>
    </row>
    <row r="18" spans="2:5">
      <c r="B18" s="20" t="s">
        <v>26</v>
      </c>
      <c r="C18" s="25">
        <v>1</v>
      </c>
      <c r="D18" s="14">
        <v>4445</v>
      </c>
      <c r="E18" s="65">
        <f t="shared" si="0"/>
        <v>4445</v>
      </c>
    </row>
    <row r="19" spans="2:5">
      <c r="B19" s="20" t="s">
        <v>27</v>
      </c>
      <c r="C19" s="25">
        <v>1</v>
      </c>
      <c r="D19" s="14">
        <v>6591</v>
      </c>
      <c r="E19" s="65">
        <f t="shared" si="0"/>
        <v>6591</v>
      </c>
    </row>
    <row r="20" spans="2:5">
      <c r="B20" s="21" t="s">
        <v>28</v>
      </c>
      <c r="C20" s="26">
        <v>14</v>
      </c>
      <c r="D20" s="15">
        <v>9716</v>
      </c>
      <c r="E20" s="65">
        <f t="shared" si="0"/>
        <v>136024</v>
      </c>
    </row>
    <row r="21" spans="2:5">
      <c r="B21" s="21" t="s">
        <v>38</v>
      </c>
      <c r="C21" s="26">
        <v>18</v>
      </c>
      <c r="D21" s="15">
        <v>9127</v>
      </c>
      <c r="E21" s="65">
        <f t="shared" si="0"/>
        <v>164286</v>
      </c>
    </row>
  </sheetData>
  <mergeCells count="2">
    <mergeCell ref="B2:D2"/>
    <mergeCell ref="B3:I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45D1-9475-43AE-B03D-549424B30495}">
  <dimension ref="B2:G16"/>
  <sheetViews>
    <sheetView workbookViewId="0">
      <selection activeCell="C7" sqref="C7"/>
    </sheetView>
  </sheetViews>
  <sheetFormatPr defaultRowHeight="15"/>
  <cols>
    <col min="2" max="2" width="20.42578125" customWidth="1"/>
    <col min="3" max="3" width="17.7109375" customWidth="1"/>
  </cols>
  <sheetData>
    <row r="2" spans="2:7" ht="15" customHeight="1">
      <c r="B2" s="88" t="s">
        <v>99</v>
      </c>
      <c r="C2" s="89"/>
      <c r="D2" s="89"/>
      <c r="E2" s="90"/>
      <c r="F2" s="34"/>
      <c r="G2" s="35"/>
    </row>
    <row r="3" spans="2:7">
      <c r="B3" s="91"/>
      <c r="C3" s="92"/>
      <c r="D3" s="92"/>
      <c r="E3" s="93"/>
      <c r="F3" s="34"/>
      <c r="G3" s="35"/>
    </row>
    <row r="4" spans="2:7">
      <c r="B4" s="33"/>
      <c r="C4" s="33"/>
      <c r="D4" s="33"/>
      <c r="E4" s="33"/>
      <c r="F4" s="33"/>
      <c r="G4" s="33"/>
    </row>
    <row r="6" spans="2:7">
      <c r="B6" s="66" t="s">
        <v>74</v>
      </c>
      <c r="C6" s="9" t="s">
        <v>100</v>
      </c>
    </row>
    <row r="7" spans="2:7">
      <c r="B7" s="32" t="s">
        <v>78</v>
      </c>
      <c r="C7" s="36" t="str">
        <f>TRIM(B7)</f>
        <v>Tanmoy Khan</v>
      </c>
    </row>
    <row r="8" spans="2:7">
      <c r="B8" s="32" t="s">
        <v>101</v>
      </c>
      <c r="C8" s="36" t="str">
        <f t="shared" ref="C8:C16" si="0">TRIM(B8)</f>
        <v>Usha Khan</v>
      </c>
    </row>
    <row r="9" spans="2:7">
      <c r="B9" s="32" t="s">
        <v>102</v>
      </c>
      <c r="C9" s="36" t="str">
        <f t="shared" si="0"/>
        <v>Achol Khan</v>
      </c>
    </row>
    <row r="10" spans="2:7">
      <c r="B10" s="32" t="s">
        <v>103</v>
      </c>
      <c r="C10" s="36" t="str">
        <f t="shared" si="0"/>
        <v>Samiya Khan</v>
      </c>
    </row>
    <row r="11" spans="2:7">
      <c r="B11" s="32" t="s">
        <v>85</v>
      </c>
      <c r="C11" s="36" t="str">
        <f t="shared" si="0"/>
        <v>Tanisha Rahman</v>
      </c>
    </row>
    <row r="12" spans="2:7">
      <c r="B12" s="32" t="s">
        <v>104</v>
      </c>
      <c r="C12" s="36" t="str">
        <f t="shared" si="0"/>
        <v>Nizum Khan</v>
      </c>
    </row>
    <row r="13" spans="2:7">
      <c r="B13" s="32" t="s">
        <v>105</v>
      </c>
      <c r="C13" s="36" t="str">
        <f t="shared" si="0"/>
        <v>Tanvir Khan</v>
      </c>
    </row>
    <row r="14" spans="2:7">
      <c r="B14" s="32" t="s">
        <v>88</v>
      </c>
      <c r="C14" s="36" t="str">
        <f t="shared" si="0"/>
        <v>Alida Khan</v>
      </c>
    </row>
    <row r="15" spans="2:7">
      <c r="B15" s="32" t="s">
        <v>106</v>
      </c>
      <c r="C15" s="36" t="str">
        <f t="shared" si="0"/>
        <v>Rikta Khan</v>
      </c>
    </row>
    <row r="16" spans="2:7">
      <c r="B16" s="32" t="s">
        <v>90</v>
      </c>
      <c r="C16" s="36" t="str">
        <f t="shared" si="0"/>
        <v>Dipu Khan</v>
      </c>
    </row>
  </sheetData>
  <mergeCells count="1">
    <mergeCell ref="B2:E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66F9-AFD2-43D4-A821-0D35C32B12E7}">
  <dimension ref="B2:H15"/>
  <sheetViews>
    <sheetView workbookViewId="0">
      <selection activeCell="C6" sqref="C6"/>
    </sheetView>
  </sheetViews>
  <sheetFormatPr defaultRowHeight="15"/>
  <cols>
    <col min="2" max="2" width="17.140625" style="37" customWidth="1"/>
    <col min="3" max="3" width="15.140625" bestFit="1" customWidth="1"/>
  </cols>
  <sheetData>
    <row r="2" spans="2:8" ht="15" customHeight="1">
      <c r="B2" s="94" t="s">
        <v>107</v>
      </c>
      <c r="C2" s="95"/>
      <c r="D2" s="95"/>
      <c r="E2" s="95"/>
      <c r="F2" s="95"/>
      <c r="G2" s="96"/>
      <c r="H2" s="38"/>
    </row>
    <row r="3" spans="2:8">
      <c r="B3" s="97"/>
      <c r="C3" s="98"/>
      <c r="D3" s="98"/>
      <c r="E3" s="98"/>
      <c r="F3" s="98"/>
      <c r="G3" s="99"/>
      <c r="H3" s="38"/>
    </row>
    <row r="5" spans="2:8">
      <c r="B5" s="66" t="s">
        <v>74</v>
      </c>
      <c r="C5" s="9" t="s">
        <v>108</v>
      </c>
    </row>
    <row r="6" spans="2:8">
      <c r="B6" s="32" t="s">
        <v>109</v>
      </c>
      <c r="C6" s="8" t="str">
        <f>PROPER(B6)</f>
        <v xml:space="preserve">Tanmoy Khan </v>
      </c>
    </row>
    <row r="7" spans="2:8">
      <c r="B7" s="32" t="s">
        <v>82</v>
      </c>
      <c r="C7" s="8" t="str">
        <f t="shared" ref="C7:C15" si="0">PROPER(B7)</f>
        <v>Usha Khan</v>
      </c>
    </row>
    <row r="8" spans="2:8">
      <c r="B8" s="32" t="s">
        <v>110</v>
      </c>
      <c r="C8" s="8" t="str">
        <f t="shared" si="0"/>
        <v>Achol Khan</v>
      </c>
    </row>
    <row r="9" spans="2:8">
      <c r="B9" s="32" t="s">
        <v>111</v>
      </c>
      <c r="C9" s="8" t="str">
        <f t="shared" si="0"/>
        <v>Samiya Khan</v>
      </c>
    </row>
    <row r="10" spans="2:8">
      <c r="B10" s="32" t="s">
        <v>112</v>
      </c>
      <c r="C10" s="8" t="str">
        <f t="shared" si="0"/>
        <v>Tanisha Rahman</v>
      </c>
    </row>
    <row r="11" spans="2:8">
      <c r="B11" s="32" t="s">
        <v>86</v>
      </c>
      <c r="C11" s="8" t="str">
        <f t="shared" si="0"/>
        <v>Nizum Khan</v>
      </c>
    </row>
    <row r="12" spans="2:8">
      <c r="B12" s="32" t="s">
        <v>87</v>
      </c>
      <c r="C12" s="8" t="str">
        <f t="shared" si="0"/>
        <v>Tanvir Khan</v>
      </c>
    </row>
    <row r="13" spans="2:8">
      <c r="B13" s="32" t="s">
        <v>113</v>
      </c>
      <c r="C13" s="8" t="str">
        <f t="shared" si="0"/>
        <v>Alida Khan</v>
      </c>
    </row>
    <row r="14" spans="2:8">
      <c r="B14" s="32" t="s">
        <v>114</v>
      </c>
      <c r="C14" s="8" t="str">
        <f t="shared" si="0"/>
        <v>Rikta Khan</v>
      </c>
    </row>
    <row r="15" spans="2:8">
      <c r="B15" s="32" t="s">
        <v>115</v>
      </c>
      <c r="C15" s="8" t="str">
        <f t="shared" si="0"/>
        <v>Dipu Khan</v>
      </c>
    </row>
  </sheetData>
  <mergeCells count="1">
    <mergeCell ref="B2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7C47-33DE-40E0-AB6D-CF3356A52D9C}">
  <dimension ref="B2:F14"/>
  <sheetViews>
    <sheetView workbookViewId="0">
      <selection activeCell="F5" sqref="F5"/>
    </sheetView>
  </sheetViews>
  <sheetFormatPr defaultRowHeight="15"/>
  <cols>
    <col min="2" max="2" width="20.140625" bestFit="1" customWidth="1"/>
    <col min="3" max="3" width="14.7109375" customWidth="1"/>
    <col min="4" max="4" width="15.28515625" customWidth="1"/>
    <col min="6" max="6" width="15.7109375" bestFit="1" customWidth="1"/>
  </cols>
  <sheetData>
    <row r="2" spans="2:6">
      <c r="B2" s="80" t="s">
        <v>116</v>
      </c>
      <c r="C2" s="81"/>
      <c r="D2" s="81"/>
      <c r="E2" s="82"/>
    </row>
    <row r="4" spans="2:6">
      <c r="B4" s="66" t="s">
        <v>117</v>
      </c>
      <c r="C4" s="9" t="s">
        <v>118</v>
      </c>
      <c r="D4" s="42" t="s">
        <v>119</v>
      </c>
    </row>
    <row r="5" spans="2:6">
      <c r="B5" s="32" t="s">
        <v>120</v>
      </c>
      <c r="C5" s="36" t="s">
        <v>121</v>
      </c>
      <c r="D5" s="43" t="str">
        <f>CONCATENATE(B5," ",C5)</f>
        <v>Tanmoy   Khan</v>
      </c>
      <c r="F5" t="str">
        <f>_xlfn.CONCAT(B5," ",C5)</f>
        <v>Tanmoy   Khan</v>
      </c>
    </row>
    <row r="6" spans="2:6">
      <c r="B6" s="32" t="s">
        <v>122</v>
      </c>
      <c r="C6" s="36" t="s">
        <v>121</v>
      </c>
      <c r="D6" s="43" t="str">
        <f t="shared" ref="D6:D14" si="0">CONCATENATE(B6," ",C6)</f>
        <v>Usha   Khan</v>
      </c>
      <c r="F6" t="str">
        <f t="shared" ref="F6:F14" si="1">_xlfn.CONCAT(B6," ",C6)</f>
        <v>Usha   Khan</v>
      </c>
    </row>
    <row r="7" spans="2:6">
      <c r="B7" s="32" t="s">
        <v>123</v>
      </c>
      <c r="C7" s="44" t="s">
        <v>124</v>
      </c>
      <c r="D7" s="43" t="str">
        <f t="shared" si="0"/>
        <v>Achol  Khan</v>
      </c>
      <c r="F7" t="str">
        <f t="shared" si="1"/>
        <v>Achol  Khan</v>
      </c>
    </row>
    <row r="8" spans="2:6">
      <c r="B8" s="32" t="s">
        <v>125</v>
      </c>
      <c r="C8" s="45" t="s">
        <v>124</v>
      </c>
      <c r="D8" s="43" t="str">
        <f t="shared" si="0"/>
        <v>Samiya  Khan</v>
      </c>
      <c r="F8" t="str">
        <f t="shared" si="1"/>
        <v>Samiya  Khan</v>
      </c>
    </row>
    <row r="9" spans="2:6">
      <c r="B9" s="32" t="s">
        <v>126</v>
      </c>
      <c r="C9" s="44" t="s">
        <v>127</v>
      </c>
      <c r="D9" s="43" t="str">
        <f t="shared" si="0"/>
        <v>Tanisha  Rahman</v>
      </c>
      <c r="F9" t="str">
        <f t="shared" si="1"/>
        <v>Tanisha  Rahman</v>
      </c>
    </row>
    <row r="10" spans="2:6">
      <c r="B10" s="32" t="s">
        <v>128</v>
      </c>
      <c r="C10" s="46" t="s">
        <v>124</v>
      </c>
      <c r="D10" s="43" t="str">
        <f t="shared" si="0"/>
        <v>Nizum  Khan</v>
      </c>
      <c r="F10" t="str">
        <f t="shared" si="1"/>
        <v>Nizum  Khan</v>
      </c>
    </row>
    <row r="11" spans="2:6">
      <c r="B11" s="32" t="s">
        <v>129</v>
      </c>
      <c r="C11" s="44" t="s">
        <v>124</v>
      </c>
      <c r="D11" s="43" t="str">
        <f t="shared" si="0"/>
        <v>Tanvir  Khan</v>
      </c>
      <c r="F11" t="str">
        <f t="shared" si="1"/>
        <v>Tanvir  Khan</v>
      </c>
    </row>
    <row r="12" spans="2:6">
      <c r="B12" s="32" t="s">
        <v>130</v>
      </c>
      <c r="C12" s="44" t="s">
        <v>124</v>
      </c>
      <c r="D12" s="43" t="str">
        <f t="shared" si="0"/>
        <v>Alida  Khan</v>
      </c>
      <c r="F12" t="str">
        <f t="shared" si="1"/>
        <v>Alida  Khan</v>
      </c>
    </row>
    <row r="13" spans="2:6">
      <c r="B13" s="32" t="s">
        <v>131</v>
      </c>
      <c r="C13" s="44" t="s">
        <v>124</v>
      </c>
      <c r="D13" s="43" t="str">
        <f t="shared" si="0"/>
        <v>Rikta  Khan</v>
      </c>
      <c r="F13" t="str">
        <f t="shared" si="1"/>
        <v>Rikta  Khan</v>
      </c>
    </row>
    <row r="14" spans="2:6">
      <c r="B14" s="32" t="s">
        <v>132</v>
      </c>
      <c r="C14" s="44" t="s">
        <v>124</v>
      </c>
      <c r="D14" s="43" t="str">
        <f t="shared" si="0"/>
        <v>Dipu  Khan</v>
      </c>
      <c r="F14" t="str">
        <f t="shared" si="1"/>
        <v>Dipu  Khan</v>
      </c>
    </row>
  </sheetData>
  <mergeCells count="1">
    <mergeCell ref="B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69DD-846A-45EA-9738-7FF79DFA31AE}">
  <dimension ref="B2:R31"/>
  <sheetViews>
    <sheetView workbookViewId="0">
      <selection activeCell="Q5" sqref="Q5"/>
    </sheetView>
  </sheetViews>
  <sheetFormatPr defaultRowHeight="15"/>
  <cols>
    <col min="2" max="2" width="15.28515625" bestFit="1" customWidth="1"/>
    <col min="4" max="4" width="11.140625" bestFit="1" customWidth="1"/>
    <col min="5" max="5" width="12.42578125" bestFit="1" customWidth="1"/>
    <col min="6" max="6" width="12" bestFit="1" customWidth="1"/>
    <col min="7" max="7" width="14.7109375" style="3" bestFit="1" customWidth="1"/>
    <col min="11" max="11" width="15.28515625" bestFit="1" customWidth="1"/>
    <col min="14" max="14" width="15.28515625" bestFit="1" customWidth="1"/>
    <col min="15" max="15" width="10.140625" bestFit="1" customWidth="1"/>
    <col min="17" max="17" width="15.28515625" bestFit="1" customWidth="1"/>
    <col min="18" max="18" width="11.140625" bestFit="1" customWidth="1"/>
  </cols>
  <sheetData>
    <row r="2" spans="2:18">
      <c r="K2" s="100" t="s">
        <v>133</v>
      </c>
      <c r="L2" s="100"/>
      <c r="N2" s="100" t="s">
        <v>133</v>
      </c>
      <c r="O2" s="100"/>
      <c r="Q2" s="100" t="s">
        <v>133</v>
      </c>
      <c r="R2" s="100"/>
    </row>
    <row r="3" spans="2:18">
      <c r="K3" s="100"/>
      <c r="L3" s="100"/>
      <c r="N3" s="101"/>
      <c r="O3" s="101"/>
      <c r="Q3" s="101"/>
      <c r="R3" s="101"/>
    </row>
    <row r="4" spans="2:18">
      <c r="B4" s="22" t="s">
        <v>0</v>
      </c>
      <c r="C4" s="24" t="s">
        <v>97</v>
      </c>
      <c r="D4" s="23" t="s">
        <v>98</v>
      </c>
      <c r="E4" s="11" t="s">
        <v>134</v>
      </c>
      <c r="F4" s="11" t="s">
        <v>135</v>
      </c>
      <c r="G4" s="47" t="s">
        <v>136</v>
      </c>
      <c r="K4" s="69" t="s">
        <v>0</v>
      </c>
      <c r="L4" s="69" t="s">
        <v>98</v>
      </c>
      <c r="N4" s="70" t="s">
        <v>0</v>
      </c>
      <c r="O4" s="70" t="s">
        <v>137</v>
      </c>
      <c r="Q4" s="70" t="s">
        <v>0</v>
      </c>
      <c r="R4" s="70" t="s">
        <v>138</v>
      </c>
    </row>
    <row r="5" spans="2:18">
      <c r="B5" s="20" t="s">
        <v>14</v>
      </c>
      <c r="C5" s="25">
        <v>9</v>
      </c>
      <c r="D5" s="14">
        <v>258.98988700000001</v>
      </c>
      <c r="E5" s="48">
        <f t="shared" ref="E5" si="0">ROUND(D5,0)</f>
        <v>259</v>
      </c>
      <c r="F5" s="49">
        <f>ROUNDUP(D5,0)</f>
        <v>259</v>
      </c>
      <c r="G5" s="48">
        <f t="shared" ref="G5:G20" si="1">ROUNDDOWN(D5,0)</f>
        <v>258</v>
      </c>
      <c r="K5" s="8" t="str" cm="1">
        <f t="array" ref="K5:L21">_xlfn.GROUPBY(B5:B20,D5:D20,_xleta.SUM)</f>
        <v>Burritos</v>
      </c>
      <c r="L5" s="8">
        <v>6888.54</v>
      </c>
      <c r="N5" t="str" cm="1">
        <f t="array" ref="N5:O21">_xlfn.GROUPBY(B5:B20,D5:D20,_xleta.MAX)</f>
        <v>Burritos</v>
      </c>
      <c r="O5">
        <v>6888.54</v>
      </c>
      <c r="Q5" t="str" cm="1">
        <f t="array" ref="Q5:R21">_xlfn.GROUPBY(B5:B20,D5:D20,_xleta.MIN)</f>
        <v>Burritos</v>
      </c>
      <c r="R5">
        <v>6888.54</v>
      </c>
    </row>
    <row r="6" spans="2:18">
      <c r="B6" s="20" t="s">
        <v>15</v>
      </c>
      <c r="C6" s="25">
        <v>20</v>
      </c>
      <c r="D6" s="14">
        <v>931.12300000000005</v>
      </c>
      <c r="E6" s="48">
        <f t="shared" ref="E6" si="2">ROUND(D6,0)</f>
        <v>931</v>
      </c>
      <c r="F6" s="49">
        <f t="shared" ref="F6:F20" si="3">ROUNDUP(D6,0)</f>
        <v>932</v>
      </c>
      <c r="G6" s="48">
        <f t="shared" si="1"/>
        <v>931</v>
      </c>
      <c r="K6" s="8" t="str">
        <v>Chicken Nuggets</v>
      </c>
      <c r="L6" s="8">
        <v>7109</v>
      </c>
      <c r="N6" t="str">
        <v>Chicken Nuggets</v>
      </c>
      <c r="O6">
        <v>7109</v>
      </c>
      <c r="Q6" t="str">
        <v>Chicken Nuggets</v>
      </c>
      <c r="R6">
        <v>7109</v>
      </c>
    </row>
    <row r="7" spans="2:18">
      <c r="B7" s="20" t="s">
        <v>16</v>
      </c>
      <c r="C7" s="25">
        <v>1</v>
      </c>
      <c r="D7" s="14">
        <v>390.00900000000001</v>
      </c>
      <c r="E7" s="48">
        <f t="shared" ref="E7" si="4">ROUND(D7,0)</f>
        <v>390</v>
      </c>
      <c r="F7" s="49">
        <f t="shared" si="3"/>
        <v>391</v>
      </c>
      <c r="G7" s="48">
        <f t="shared" si="1"/>
        <v>390</v>
      </c>
      <c r="K7" s="8" t="str">
        <v>Falafel</v>
      </c>
      <c r="L7" s="8">
        <v>4445.45</v>
      </c>
      <c r="N7" t="str">
        <v>Falafel</v>
      </c>
      <c r="O7">
        <v>4445.45</v>
      </c>
      <c r="Q7" t="str">
        <v>Falafel</v>
      </c>
      <c r="R7">
        <v>4445.45</v>
      </c>
    </row>
    <row r="8" spans="2:18">
      <c r="B8" s="20" t="s">
        <v>17</v>
      </c>
      <c r="C8" s="25">
        <v>13</v>
      </c>
      <c r="D8" s="14">
        <v>99802</v>
      </c>
      <c r="E8" s="48">
        <f t="shared" ref="E8" si="5">ROUND(D8,0)</f>
        <v>99802</v>
      </c>
      <c r="F8" s="49">
        <f t="shared" si="3"/>
        <v>99802</v>
      </c>
      <c r="G8" s="48">
        <f t="shared" si="1"/>
        <v>99802</v>
      </c>
      <c r="K8" s="8" t="str">
        <v>French Fries</v>
      </c>
      <c r="L8" s="8">
        <v>4006.76</v>
      </c>
      <c r="N8" t="str">
        <v>French Fries</v>
      </c>
      <c r="O8">
        <v>4006.76</v>
      </c>
      <c r="Q8" t="str">
        <v>French Fries</v>
      </c>
      <c r="R8">
        <v>4006.76</v>
      </c>
    </row>
    <row r="9" spans="2:18">
      <c r="B9" s="20" t="s">
        <v>18</v>
      </c>
      <c r="C9" s="25">
        <v>11</v>
      </c>
      <c r="D9" s="14">
        <v>6888.54</v>
      </c>
      <c r="E9" s="48">
        <f t="shared" ref="E9" si="6">ROUND(D9,0)</f>
        <v>6889</v>
      </c>
      <c r="F9" s="49">
        <f t="shared" si="3"/>
        <v>6889</v>
      </c>
      <c r="G9" s="48">
        <f t="shared" si="1"/>
        <v>6888</v>
      </c>
      <c r="K9" s="8" t="str">
        <v>Fried Chicken</v>
      </c>
      <c r="L9" s="8">
        <v>2154</v>
      </c>
      <c r="N9" t="str">
        <v>Fried Chicken</v>
      </c>
      <c r="O9">
        <v>2154</v>
      </c>
      <c r="Q9" t="str">
        <v>Fried Chicken</v>
      </c>
      <c r="R9">
        <v>2154</v>
      </c>
    </row>
    <row r="10" spans="2:18">
      <c r="B10" s="20" t="s">
        <v>37</v>
      </c>
      <c r="C10" s="25">
        <v>7</v>
      </c>
      <c r="D10" s="14">
        <v>2154</v>
      </c>
      <c r="E10" s="48">
        <f t="shared" ref="E10" si="7">ROUND(D10,0)</f>
        <v>2154</v>
      </c>
      <c r="F10" s="49">
        <f t="shared" si="3"/>
        <v>2154</v>
      </c>
      <c r="G10" s="48">
        <f t="shared" si="1"/>
        <v>2154</v>
      </c>
      <c r="K10" s="8" t="str">
        <v>Gyros</v>
      </c>
      <c r="L10" s="8">
        <v>6591.33</v>
      </c>
      <c r="N10" t="str">
        <v>Gyros</v>
      </c>
      <c r="O10">
        <v>6591.33</v>
      </c>
      <c r="Q10" t="str">
        <v>Gyros</v>
      </c>
      <c r="R10">
        <v>6591.33</v>
      </c>
    </row>
    <row r="11" spans="2:18">
      <c r="B11" s="20" t="s">
        <v>20</v>
      </c>
      <c r="C11" s="25">
        <v>6</v>
      </c>
      <c r="D11" s="14">
        <v>4006.76</v>
      </c>
      <c r="E11" s="48">
        <f t="shared" ref="E11" si="8">ROUND(D11,0)</f>
        <v>4007</v>
      </c>
      <c r="F11" s="49">
        <f t="shared" si="3"/>
        <v>4007</v>
      </c>
      <c r="G11" s="48">
        <f t="shared" si="1"/>
        <v>4006</v>
      </c>
      <c r="K11" s="8" t="str">
        <v>Hamburgers</v>
      </c>
      <c r="L11" s="8">
        <v>931.12300000000005</v>
      </c>
      <c r="N11" t="str">
        <v>Hamburgers</v>
      </c>
      <c r="O11">
        <v>931.12300000000005</v>
      </c>
      <c r="Q11" t="str">
        <v>Hamburgers</v>
      </c>
      <c r="R11">
        <v>931.12300000000005</v>
      </c>
    </row>
    <row r="12" spans="2:18">
      <c r="B12" s="20" t="s">
        <v>21</v>
      </c>
      <c r="C12" s="25">
        <v>4</v>
      </c>
      <c r="D12" s="14">
        <v>7109</v>
      </c>
      <c r="E12" s="48">
        <f t="shared" ref="E12" si="9">ROUND(D12,0)</f>
        <v>7109</v>
      </c>
      <c r="F12" s="49">
        <f t="shared" si="3"/>
        <v>7109</v>
      </c>
      <c r="G12" s="48">
        <f t="shared" si="1"/>
        <v>7109</v>
      </c>
      <c r="K12" s="8" t="str">
        <v>Hot Dogs</v>
      </c>
      <c r="L12" s="8">
        <v>390.00900000000001</v>
      </c>
      <c r="N12" t="str">
        <v>Hot Dogs</v>
      </c>
      <c r="O12">
        <v>390.00900000000001</v>
      </c>
      <c r="Q12" t="str">
        <v>Hot Dogs</v>
      </c>
      <c r="R12">
        <v>390.00900000000001</v>
      </c>
    </row>
    <row r="13" spans="2:18">
      <c r="B13" s="20" t="s">
        <v>22</v>
      </c>
      <c r="C13" s="25">
        <v>14</v>
      </c>
      <c r="D13" s="14">
        <v>9356.7780000000002</v>
      </c>
      <c r="E13" s="48">
        <f t="shared" ref="E13" si="10">ROUND(D13,0)</f>
        <v>9357</v>
      </c>
      <c r="F13" s="49">
        <f t="shared" si="3"/>
        <v>9357</v>
      </c>
      <c r="G13" s="48">
        <f t="shared" si="1"/>
        <v>9356</v>
      </c>
      <c r="K13" s="8" t="str">
        <v>Pasta</v>
      </c>
      <c r="L13" s="8">
        <v>1579.76</v>
      </c>
      <c r="N13" t="str">
        <v>Pasta</v>
      </c>
      <c r="O13">
        <v>1579.76</v>
      </c>
      <c r="Q13" t="str">
        <v>Pasta</v>
      </c>
      <c r="R13">
        <v>1579.76</v>
      </c>
    </row>
    <row r="14" spans="2:18">
      <c r="B14" s="20" t="s">
        <v>23</v>
      </c>
      <c r="C14" s="25">
        <v>8</v>
      </c>
      <c r="D14" s="14">
        <v>5274</v>
      </c>
      <c r="E14" s="48">
        <f t="shared" ref="E14" si="11">ROUND(D14,0)</f>
        <v>5274</v>
      </c>
      <c r="F14" s="49">
        <f t="shared" si="3"/>
        <v>5274</v>
      </c>
      <c r="G14" s="48">
        <f t="shared" si="1"/>
        <v>5274</v>
      </c>
      <c r="K14" s="8" t="str">
        <v>Pizza</v>
      </c>
      <c r="L14" s="8">
        <v>258.98988700000001</v>
      </c>
      <c r="N14" t="str">
        <v>Pizza</v>
      </c>
      <c r="O14">
        <v>258.98988700000001</v>
      </c>
      <c r="Q14" t="str">
        <v>Pizza</v>
      </c>
      <c r="R14">
        <v>258.98988700000001</v>
      </c>
    </row>
    <row r="15" spans="2:18">
      <c r="B15" s="20" t="s">
        <v>24</v>
      </c>
      <c r="C15" s="25">
        <v>18</v>
      </c>
      <c r="D15" s="14">
        <v>1579.76</v>
      </c>
      <c r="E15" s="48">
        <f t="shared" ref="E15" si="12">ROUND(D15,0)</f>
        <v>1580</v>
      </c>
      <c r="F15" s="49">
        <f t="shared" si="3"/>
        <v>1580</v>
      </c>
      <c r="G15" s="48">
        <f t="shared" si="1"/>
        <v>1579</v>
      </c>
      <c r="K15" s="8" t="str">
        <v>Quesadillas</v>
      </c>
      <c r="L15" s="8">
        <v>9127</v>
      </c>
      <c r="N15" t="str">
        <v>Quesadillas</v>
      </c>
      <c r="O15">
        <v>9127</v>
      </c>
      <c r="Q15" t="str">
        <v>Quesadillas</v>
      </c>
      <c r="R15">
        <v>9127</v>
      </c>
    </row>
    <row r="16" spans="2:18">
      <c r="B16" s="20" t="s">
        <v>25</v>
      </c>
      <c r="C16" s="25">
        <v>15</v>
      </c>
      <c r="D16" s="14">
        <v>3948</v>
      </c>
      <c r="E16" s="48">
        <f t="shared" ref="E16" si="13">ROUND(D16,0)</f>
        <v>3948</v>
      </c>
      <c r="F16" s="49">
        <f t="shared" si="3"/>
        <v>3948</v>
      </c>
      <c r="G16" s="48">
        <f t="shared" si="1"/>
        <v>3948</v>
      </c>
      <c r="K16" s="8" t="str">
        <v>Sandwiches</v>
      </c>
      <c r="L16" s="8">
        <v>9356.7780000000002</v>
      </c>
      <c r="N16" t="str">
        <v>Sandwiches</v>
      </c>
      <c r="O16">
        <v>9356.7780000000002</v>
      </c>
      <c r="Q16" t="str">
        <v>Sandwiches</v>
      </c>
      <c r="R16">
        <v>9356.7780000000002</v>
      </c>
    </row>
    <row r="17" spans="2:18">
      <c r="B17" s="20" t="s">
        <v>26</v>
      </c>
      <c r="C17" s="25">
        <v>1</v>
      </c>
      <c r="D17" s="14">
        <v>4445.45</v>
      </c>
      <c r="E17" s="48">
        <f t="shared" ref="E17" si="14">ROUND(D17,0)</f>
        <v>4445</v>
      </c>
      <c r="F17" s="49">
        <f t="shared" si="3"/>
        <v>4446</v>
      </c>
      <c r="G17" s="48">
        <f t="shared" si="1"/>
        <v>4445</v>
      </c>
      <c r="K17" s="8" t="str">
        <v>Shawarma</v>
      </c>
      <c r="L17" s="8">
        <v>9716.18</v>
      </c>
      <c r="N17" t="str">
        <v>Shawarma</v>
      </c>
      <c r="O17">
        <v>9716.18</v>
      </c>
      <c r="Q17" t="str">
        <v>Shawarma</v>
      </c>
      <c r="R17">
        <v>9716.18</v>
      </c>
    </row>
    <row r="18" spans="2:18">
      <c r="B18" s="20" t="s">
        <v>27</v>
      </c>
      <c r="C18" s="25">
        <v>1</v>
      </c>
      <c r="D18" s="14">
        <v>6591.33</v>
      </c>
      <c r="E18" s="48">
        <f t="shared" ref="E18" si="15">ROUND(D18,0)</f>
        <v>6591</v>
      </c>
      <c r="F18" s="49">
        <f t="shared" si="3"/>
        <v>6592</v>
      </c>
      <c r="G18" s="48">
        <f t="shared" si="1"/>
        <v>6591</v>
      </c>
      <c r="K18" s="8" t="str">
        <v>Stir-Fry</v>
      </c>
      <c r="L18" s="8">
        <v>3948</v>
      </c>
      <c r="N18" t="str">
        <v>Stir-Fry</v>
      </c>
      <c r="O18">
        <v>3948</v>
      </c>
      <c r="Q18" t="str">
        <v>Stir-Fry</v>
      </c>
      <c r="R18">
        <v>3948</v>
      </c>
    </row>
    <row r="19" spans="2:18">
      <c r="B19" s="21" t="s">
        <v>28</v>
      </c>
      <c r="C19" s="26">
        <v>14</v>
      </c>
      <c r="D19" s="15">
        <v>9716.18</v>
      </c>
      <c r="E19" s="48">
        <f t="shared" ref="E19" si="16">ROUND(D19,0)</f>
        <v>9716</v>
      </c>
      <c r="F19" s="49">
        <f t="shared" si="3"/>
        <v>9717</v>
      </c>
      <c r="G19" s="48">
        <f t="shared" si="1"/>
        <v>9716</v>
      </c>
      <c r="K19" s="8" t="str">
        <v>Sushi Rolls</v>
      </c>
      <c r="L19" s="8">
        <v>5274</v>
      </c>
      <c r="N19" t="str">
        <v>Sushi Rolls</v>
      </c>
      <c r="O19">
        <v>5274</v>
      </c>
      <c r="Q19" t="str">
        <v>Sushi Rolls</v>
      </c>
      <c r="R19">
        <v>5274</v>
      </c>
    </row>
    <row r="20" spans="2:18">
      <c r="B20" s="21" t="s">
        <v>38</v>
      </c>
      <c r="C20" s="26">
        <v>18</v>
      </c>
      <c r="D20" s="15">
        <v>9127</v>
      </c>
      <c r="E20" s="48">
        <f t="shared" ref="E20" si="17">ROUND(D20,0)</f>
        <v>9127</v>
      </c>
      <c r="F20" s="49">
        <f t="shared" si="3"/>
        <v>9127</v>
      </c>
      <c r="G20" s="48">
        <f t="shared" si="1"/>
        <v>9127</v>
      </c>
      <c r="K20" s="8" t="str">
        <v>Tacos</v>
      </c>
      <c r="L20" s="8">
        <v>99802</v>
      </c>
      <c r="N20" t="str">
        <v>Tacos</v>
      </c>
      <c r="O20">
        <v>99802</v>
      </c>
      <c r="Q20" t="str">
        <v>Tacos</v>
      </c>
      <c r="R20">
        <v>99802</v>
      </c>
    </row>
    <row r="21" spans="2:18">
      <c r="K21" s="8" t="str">
        <v>Total</v>
      </c>
      <c r="L21" s="8">
        <v>171578.919887</v>
      </c>
      <c r="N21" t="str">
        <v>Total</v>
      </c>
      <c r="O21">
        <v>99802</v>
      </c>
      <c r="Q21" t="str">
        <v>Total</v>
      </c>
      <c r="R21">
        <v>258.98988700000001</v>
      </c>
    </row>
    <row r="23" spans="2:18">
      <c r="B23" s="102" t="s">
        <v>134</v>
      </c>
      <c r="C23" s="103"/>
      <c r="D23" s="103"/>
      <c r="E23" s="104"/>
    </row>
    <row r="24" spans="2:18">
      <c r="B24" s="50"/>
      <c r="C24" s="51"/>
      <c r="D24" s="51"/>
      <c r="E24" s="52"/>
    </row>
    <row r="25" spans="2:18">
      <c r="B25" s="53" t="s">
        <v>139</v>
      </c>
      <c r="C25" s="53" t="s">
        <v>134</v>
      </c>
      <c r="D25" s="53" t="s">
        <v>140</v>
      </c>
      <c r="E25" s="53" t="s">
        <v>136</v>
      </c>
    </row>
    <row r="26" spans="2:18">
      <c r="B26" s="65">
        <v>1.0333000000000001</v>
      </c>
      <c r="C26" s="54">
        <f>ROUND(B26,0)</f>
        <v>1</v>
      </c>
      <c r="D26" s="65">
        <f>ROUNDUP(B26,0)</f>
        <v>2</v>
      </c>
      <c r="E26" s="65">
        <f>ROUNDDOWN(B26,0)</f>
        <v>1</v>
      </c>
    </row>
    <row r="27" spans="2:18">
      <c r="B27" s="65">
        <v>2.0554999999999999</v>
      </c>
      <c r="C27" s="65">
        <f t="shared" ref="C27:C31" si="18">ROUND(B27,0)</f>
        <v>2</v>
      </c>
      <c r="D27" s="65">
        <f t="shared" ref="D27:D31" si="19">ROUNDUP(B27,0)</f>
        <v>3</v>
      </c>
      <c r="E27" s="65">
        <f t="shared" ref="E27:E31" si="20">ROUNDDOWN(B27,0)</f>
        <v>2</v>
      </c>
    </row>
    <row r="28" spans="2:18">
      <c r="B28" s="65">
        <v>2.9999899999999999</v>
      </c>
      <c r="C28" s="65">
        <f t="shared" si="18"/>
        <v>3</v>
      </c>
      <c r="D28" s="65">
        <f t="shared" si="19"/>
        <v>3</v>
      </c>
      <c r="E28" s="65">
        <f t="shared" si="20"/>
        <v>2</v>
      </c>
    </row>
    <row r="29" spans="2:18">
      <c r="B29" s="65">
        <v>8.9565000000000001</v>
      </c>
      <c r="C29" s="65">
        <f t="shared" si="18"/>
        <v>9</v>
      </c>
      <c r="D29" s="65">
        <f t="shared" si="19"/>
        <v>9</v>
      </c>
      <c r="E29" s="65">
        <f t="shared" si="20"/>
        <v>8</v>
      </c>
    </row>
    <row r="30" spans="2:18">
      <c r="B30" s="65">
        <v>1.333</v>
      </c>
      <c r="C30" s="65">
        <f t="shared" si="18"/>
        <v>1</v>
      </c>
      <c r="D30" s="65">
        <f t="shared" si="19"/>
        <v>2</v>
      </c>
      <c r="E30" s="65">
        <f t="shared" si="20"/>
        <v>1</v>
      </c>
    </row>
    <row r="31" spans="2:18">
      <c r="B31" s="65">
        <v>4.556</v>
      </c>
      <c r="C31" s="65">
        <f t="shared" si="18"/>
        <v>5</v>
      </c>
      <c r="D31" s="65">
        <f t="shared" si="19"/>
        <v>5</v>
      </c>
      <c r="E31" s="65">
        <f t="shared" si="20"/>
        <v>4</v>
      </c>
    </row>
  </sheetData>
  <mergeCells count="4">
    <mergeCell ref="Q2:R3"/>
    <mergeCell ref="B23:E23"/>
    <mergeCell ref="K2:L3"/>
    <mergeCell ref="N2:O3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D797-735E-4B0D-B902-080644E16F4A}">
  <dimension ref="B2:K6"/>
  <sheetViews>
    <sheetView workbookViewId="0">
      <selection activeCell="E14" sqref="E14"/>
    </sheetView>
  </sheetViews>
  <sheetFormatPr defaultRowHeight="15"/>
  <cols>
    <col min="2" max="2" width="60.28515625" style="57" bestFit="1" customWidth="1"/>
    <col min="4" max="4" width="28.140625" customWidth="1"/>
    <col min="6" max="6" width="4.140625" bestFit="1" customWidth="1"/>
    <col min="7" max="7" width="12.7109375" bestFit="1" customWidth="1"/>
    <col min="8" max="8" width="4" bestFit="1" customWidth="1"/>
    <col min="9" max="9" width="10.140625" bestFit="1" customWidth="1"/>
    <col min="10" max="10" width="28.85546875" bestFit="1" customWidth="1"/>
    <col min="11" max="11" width="6.28515625" bestFit="1" customWidth="1"/>
  </cols>
  <sheetData>
    <row r="2" spans="2:11">
      <c r="B2" s="68" t="s">
        <v>141</v>
      </c>
      <c r="F2" s="105" t="s">
        <v>142</v>
      </c>
      <c r="G2" s="105"/>
      <c r="H2" s="105"/>
      <c r="I2" s="105"/>
      <c r="J2" s="105"/>
      <c r="K2" s="105"/>
    </row>
    <row r="3" spans="2:11">
      <c r="B3" s="59"/>
      <c r="F3" s="106"/>
      <c r="G3" s="106"/>
      <c r="H3" s="106"/>
      <c r="I3" s="106"/>
      <c r="J3" s="106"/>
      <c r="K3" s="106"/>
    </row>
    <row r="4" spans="2:11">
      <c r="B4" s="61" t="s">
        <v>143</v>
      </c>
      <c r="D4" s="56"/>
      <c r="F4" s="62" t="s">
        <v>144</v>
      </c>
      <c r="G4" s="53" t="s">
        <v>145</v>
      </c>
      <c r="H4" s="53" t="s">
        <v>146</v>
      </c>
      <c r="I4" s="53" t="s">
        <v>147</v>
      </c>
      <c r="J4" s="53" t="s">
        <v>148</v>
      </c>
      <c r="K4" s="53" t="s">
        <v>149</v>
      </c>
    </row>
    <row r="5" spans="2:11" ht="30.75">
      <c r="B5" s="59" t="s">
        <v>150</v>
      </c>
      <c r="D5" s="58" t="s">
        <v>151</v>
      </c>
      <c r="F5" s="6">
        <v>101</v>
      </c>
      <c r="G5" s="65" t="s">
        <v>152</v>
      </c>
      <c r="H5" s="65">
        <v>30</v>
      </c>
      <c r="I5" s="63">
        <v>46300</v>
      </c>
      <c r="J5" s="65" t="s">
        <v>153</v>
      </c>
      <c r="K5" s="65">
        <v>95</v>
      </c>
    </row>
    <row r="6" spans="2:11">
      <c r="B6" s="60" t="s">
        <v>154</v>
      </c>
      <c r="F6" s="7">
        <v>101</v>
      </c>
      <c r="G6" s="65" t="s">
        <v>82</v>
      </c>
      <c r="H6" s="65">
        <v>20</v>
      </c>
      <c r="I6" s="63">
        <v>46300</v>
      </c>
      <c r="J6" s="65" t="s">
        <v>155</v>
      </c>
      <c r="K6" s="65">
        <v>98</v>
      </c>
    </row>
  </sheetData>
  <mergeCells count="2">
    <mergeCell ref="F2:K2"/>
    <mergeCell ref="F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0E78-4D8E-48A5-8243-45760C127B57}">
  <dimension ref="B2:F7"/>
  <sheetViews>
    <sheetView workbookViewId="0">
      <selection activeCell="F5" sqref="F5"/>
    </sheetView>
  </sheetViews>
  <sheetFormatPr defaultRowHeight="15"/>
  <sheetData>
    <row r="2" spans="2:6">
      <c r="B2" s="9" t="s">
        <v>156</v>
      </c>
      <c r="C2" s="9" t="s">
        <v>98</v>
      </c>
      <c r="E2" s="105" t="s">
        <v>157</v>
      </c>
      <c r="F2" s="105"/>
    </row>
    <row r="3" spans="2:6">
      <c r="B3" s="65" t="s">
        <v>158</v>
      </c>
      <c r="C3" s="65">
        <v>250</v>
      </c>
      <c r="E3" s="107" t="s">
        <v>159</v>
      </c>
      <c r="F3" s="107"/>
    </row>
    <row r="4" spans="2:6">
      <c r="B4" s="65" t="s">
        <v>160</v>
      </c>
      <c r="C4" s="65">
        <v>480</v>
      </c>
      <c r="E4" s="53" t="s">
        <v>156</v>
      </c>
      <c r="F4" s="53" t="s">
        <v>98</v>
      </c>
    </row>
    <row r="5" spans="2:6">
      <c r="B5" s="65" t="s">
        <v>161</v>
      </c>
      <c r="C5" s="65">
        <v>50</v>
      </c>
      <c r="E5" s="65" t="s">
        <v>162</v>
      </c>
      <c r="F5" s="65">
        <f>VLOOKUP(E5,B3:C7,2,FALSE)</f>
        <v>160</v>
      </c>
    </row>
    <row r="6" spans="2:6">
      <c r="B6" s="65" t="s">
        <v>162</v>
      </c>
      <c r="C6" s="65">
        <v>160</v>
      </c>
    </row>
    <row r="7" spans="2:6">
      <c r="B7" s="65" t="s">
        <v>163</v>
      </c>
      <c r="C7" s="65">
        <v>220</v>
      </c>
    </row>
  </sheetData>
  <mergeCells count="2">
    <mergeCell ref="E2:F2"/>
    <mergeCell ref="E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5DD5-B95E-42A1-9D30-22DBC2BCF5A7}">
  <dimension ref="B5:K8"/>
  <sheetViews>
    <sheetView workbookViewId="0">
      <selection activeCell="K8" sqref="K8"/>
    </sheetView>
  </sheetViews>
  <sheetFormatPr defaultRowHeight="15"/>
  <cols>
    <col min="6" max="6" width="10.85546875" bestFit="1" customWidth="1"/>
  </cols>
  <sheetData>
    <row r="5" spans="2:11">
      <c r="B5" s="9" t="s">
        <v>156</v>
      </c>
      <c r="C5" s="65" t="s">
        <v>158</v>
      </c>
      <c r="D5" s="65" t="s">
        <v>160</v>
      </c>
      <c r="E5" s="65" t="s">
        <v>161</v>
      </c>
      <c r="F5" s="65" t="s">
        <v>162</v>
      </c>
      <c r="G5" s="65" t="s">
        <v>163</v>
      </c>
      <c r="J5" s="105" t="s">
        <v>164</v>
      </c>
      <c r="K5" s="105"/>
    </row>
    <row r="6" spans="2:11">
      <c r="B6" s="9" t="s">
        <v>41</v>
      </c>
      <c r="C6" s="65" t="s">
        <v>165</v>
      </c>
      <c r="D6" s="65" t="s">
        <v>166</v>
      </c>
      <c r="E6" s="65" t="s">
        <v>167</v>
      </c>
      <c r="F6" s="65" t="s">
        <v>168</v>
      </c>
      <c r="G6" s="65" t="s">
        <v>169</v>
      </c>
      <c r="J6" s="108" t="s">
        <v>170</v>
      </c>
      <c r="K6" s="109"/>
    </row>
    <row r="7" spans="2:11">
      <c r="B7" s="9" t="s">
        <v>98</v>
      </c>
      <c r="C7" s="65">
        <v>250</v>
      </c>
      <c r="D7" s="65">
        <v>480</v>
      </c>
      <c r="E7" s="65">
        <v>50</v>
      </c>
      <c r="F7" s="65">
        <v>160</v>
      </c>
      <c r="G7" s="65">
        <v>220</v>
      </c>
      <c r="J7" s="53" t="s">
        <v>156</v>
      </c>
      <c r="K7" s="53" t="s">
        <v>98</v>
      </c>
    </row>
    <row r="8" spans="2:11">
      <c r="J8" s="65" t="s">
        <v>162</v>
      </c>
      <c r="K8" s="65">
        <f>HLOOKUP(J8,B5:G7,3,0)</f>
        <v>160</v>
      </c>
    </row>
  </sheetData>
  <mergeCells count="2">
    <mergeCell ref="J5:K5"/>
    <mergeCell ref="J6:K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9307-D109-418B-BD9A-A70F385E5589}">
  <dimension ref="B2:L15"/>
  <sheetViews>
    <sheetView workbookViewId="0">
      <selection activeCell="J6" sqref="J6"/>
    </sheetView>
  </sheetViews>
  <sheetFormatPr defaultRowHeight="15"/>
  <cols>
    <col min="3" max="3" width="10.85546875" bestFit="1" customWidth="1"/>
    <col min="10" max="10" width="10.85546875" bestFit="1" customWidth="1"/>
  </cols>
  <sheetData>
    <row r="2" spans="2:12">
      <c r="B2" s="9" t="s">
        <v>156</v>
      </c>
      <c r="C2" s="9" t="s">
        <v>41</v>
      </c>
      <c r="D2" s="9" t="s">
        <v>98</v>
      </c>
    </row>
    <row r="3" spans="2:12">
      <c r="B3" s="65" t="s">
        <v>158</v>
      </c>
      <c r="C3" s="65" t="s">
        <v>165</v>
      </c>
      <c r="D3" s="65">
        <v>250</v>
      </c>
      <c r="F3" s="105" t="s">
        <v>157</v>
      </c>
      <c r="G3" s="105"/>
      <c r="I3" s="105" t="s">
        <v>171</v>
      </c>
      <c r="J3" s="105"/>
    </row>
    <row r="4" spans="2:12">
      <c r="B4" s="65" t="s">
        <v>160</v>
      </c>
      <c r="C4" s="65" t="s">
        <v>166</v>
      </c>
      <c r="D4" s="65">
        <v>480</v>
      </c>
      <c r="F4" s="108" t="s">
        <v>159</v>
      </c>
      <c r="G4" s="106"/>
      <c r="I4" s="108" t="s">
        <v>172</v>
      </c>
      <c r="J4" s="106"/>
    </row>
    <row r="5" spans="2:12">
      <c r="B5" s="65" t="s">
        <v>161</v>
      </c>
      <c r="C5" s="65" t="s">
        <v>167</v>
      </c>
      <c r="D5" s="65">
        <v>50</v>
      </c>
      <c r="F5" s="53" t="s">
        <v>156</v>
      </c>
      <c r="G5" s="53" t="s">
        <v>98</v>
      </c>
      <c r="I5" s="53" t="s">
        <v>156</v>
      </c>
      <c r="J5" s="53" t="s">
        <v>41</v>
      </c>
    </row>
    <row r="6" spans="2:12">
      <c r="B6" s="65" t="s">
        <v>162</v>
      </c>
      <c r="C6" s="65" t="s">
        <v>168</v>
      </c>
      <c r="D6" s="65">
        <v>160</v>
      </c>
      <c r="F6" s="65" t="s">
        <v>162</v>
      </c>
      <c r="G6" s="65">
        <f>VLOOKUP(F6,B3:D7,3,FALSE)</f>
        <v>160</v>
      </c>
      <c r="I6" s="65" t="s">
        <v>162</v>
      </c>
      <c r="J6" s="65" t="str">
        <f>_xlfn.XLOOKUP(I6,B3:B7,C3:C7)</f>
        <v>Bangladesh</v>
      </c>
    </row>
    <row r="7" spans="2:12">
      <c r="B7" s="65" t="s">
        <v>163</v>
      </c>
      <c r="C7" s="65" t="s">
        <v>169</v>
      </c>
      <c r="D7" s="65">
        <v>220</v>
      </c>
    </row>
    <row r="12" spans="2:12">
      <c r="C12" s="9" t="s">
        <v>156</v>
      </c>
      <c r="D12" s="65" t="s">
        <v>158</v>
      </c>
      <c r="E12" s="65" t="s">
        <v>160</v>
      </c>
      <c r="F12" s="65" t="s">
        <v>161</v>
      </c>
      <c r="G12" s="65" t="s">
        <v>162</v>
      </c>
      <c r="H12" s="65" t="s">
        <v>163</v>
      </c>
      <c r="K12" s="112" t="s">
        <v>164</v>
      </c>
      <c r="L12" s="113"/>
    </row>
    <row r="13" spans="2:12">
      <c r="C13" s="9" t="s">
        <v>41</v>
      </c>
      <c r="D13" s="65" t="s">
        <v>165</v>
      </c>
      <c r="E13" s="65" t="s">
        <v>166</v>
      </c>
      <c r="F13" s="65" t="s">
        <v>167</v>
      </c>
      <c r="G13" s="65" t="s">
        <v>168</v>
      </c>
      <c r="H13" s="65" t="s">
        <v>169</v>
      </c>
      <c r="K13" s="110" t="s">
        <v>170</v>
      </c>
      <c r="L13" s="111"/>
    </row>
    <row r="14" spans="2:12">
      <c r="C14" s="9" t="s">
        <v>98</v>
      </c>
      <c r="D14" s="65">
        <v>250</v>
      </c>
      <c r="E14" s="65">
        <v>480</v>
      </c>
      <c r="F14" s="65">
        <v>50</v>
      </c>
      <c r="G14" s="65">
        <v>160</v>
      </c>
      <c r="H14" s="65">
        <v>220</v>
      </c>
      <c r="K14" s="53" t="s">
        <v>156</v>
      </c>
      <c r="L14" s="53" t="s">
        <v>98</v>
      </c>
    </row>
    <row r="15" spans="2:12">
      <c r="K15" s="65" t="s">
        <v>162</v>
      </c>
      <c r="L15" s="65">
        <f>HLOOKUP(K15,C12:H14,3,0)</f>
        <v>160</v>
      </c>
    </row>
  </sheetData>
  <mergeCells count="6">
    <mergeCell ref="K13:L13"/>
    <mergeCell ref="K12:L12"/>
    <mergeCell ref="F3:G3"/>
    <mergeCell ref="F4:G4"/>
    <mergeCell ref="I3:J3"/>
    <mergeCell ref="I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5710-1F8B-4CEE-B106-CC43FC8825DC}">
  <dimension ref="B2:N18"/>
  <sheetViews>
    <sheetView tabSelected="1" workbookViewId="0">
      <selection activeCell="N6" sqref="N6"/>
    </sheetView>
  </sheetViews>
  <sheetFormatPr defaultRowHeight="15"/>
  <cols>
    <col min="2" max="2" width="10.85546875" bestFit="1" customWidth="1"/>
    <col min="7" max="8" width="10.28515625" bestFit="1" customWidth="1"/>
    <col min="11" max="11" width="11.42578125" bestFit="1" customWidth="1"/>
    <col min="12" max="12" width="10.5703125" bestFit="1" customWidth="1"/>
    <col min="13" max="13" width="16" bestFit="1" customWidth="1"/>
    <col min="14" max="14" width="14.28515625" bestFit="1" customWidth="1"/>
  </cols>
  <sheetData>
    <row r="2" spans="2:14">
      <c r="B2" s="116" t="s">
        <v>173</v>
      </c>
      <c r="C2" s="117"/>
      <c r="D2" s="117"/>
      <c r="E2" s="117"/>
      <c r="F2" s="117"/>
      <c r="G2" s="117"/>
      <c r="H2" s="117"/>
      <c r="I2" s="117"/>
    </row>
    <row r="4" spans="2:14">
      <c r="B4" s="115" t="s">
        <v>174</v>
      </c>
      <c r="C4" s="115"/>
      <c r="D4" s="115"/>
      <c r="E4" s="115"/>
      <c r="F4" s="115"/>
      <c r="G4" s="115"/>
      <c r="H4" s="115"/>
      <c r="I4" s="115"/>
    </row>
    <row r="6" spans="2:14" s="114" customFormat="1">
      <c r="B6" s="70" t="s">
        <v>55</v>
      </c>
      <c r="C6" s="70" t="s">
        <v>175</v>
      </c>
      <c r="D6" s="70" t="s">
        <v>176</v>
      </c>
      <c r="E6" s="70" t="s">
        <v>177</v>
      </c>
      <c r="F6" s="70" t="s">
        <v>178</v>
      </c>
      <c r="G6" s="70" t="s">
        <v>179</v>
      </c>
      <c r="H6" s="70" t="s">
        <v>180</v>
      </c>
      <c r="I6" s="70" t="s">
        <v>181</v>
      </c>
      <c r="K6" s="118" t="s">
        <v>178</v>
      </c>
      <c r="L6" s="118" t="s">
        <v>175</v>
      </c>
      <c r="M6" t="s">
        <v>182</v>
      </c>
      <c r="N6" t="s">
        <v>183</v>
      </c>
    </row>
    <row r="7" spans="2:14">
      <c r="B7" s="65" t="s">
        <v>184</v>
      </c>
      <c r="C7" s="65" t="s">
        <v>185</v>
      </c>
      <c r="D7" s="65">
        <v>16</v>
      </c>
      <c r="E7" s="65">
        <v>10</v>
      </c>
      <c r="F7" s="65" t="s">
        <v>186</v>
      </c>
      <c r="G7" s="65">
        <v>84</v>
      </c>
      <c r="H7" s="65">
        <v>79</v>
      </c>
      <c r="I7" s="65">
        <v>81</v>
      </c>
      <c r="K7" t="s">
        <v>187</v>
      </c>
      <c r="L7" t="s">
        <v>188</v>
      </c>
      <c r="M7" s="119">
        <v>96</v>
      </c>
      <c r="N7" s="119">
        <v>16</v>
      </c>
    </row>
    <row r="8" spans="2:14">
      <c r="B8" s="65" t="s">
        <v>189</v>
      </c>
      <c r="C8" s="65" t="s">
        <v>185</v>
      </c>
      <c r="D8" s="65">
        <v>11</v>
      </c>
      <c r="E8" s="65">
        <v>5</v>
      </c>
      <c r="F8" s="65" t="s">
        <v>190</v>
      </c>
      <c r="G8" s="65">
        <v>82</v>
      </c>
      <c r="H8" s="65">
        <v>83</v>
      </c>
      <c r="I8" s="65">
        <v>91</v>
      </c>
      <c r="L8" t="s">
        <v>185</v>
      </c>
      <c r="M8" s="119">
        <v>267</v>
      </c>
      <c r="N8" s="119">
        <v>13.666666666666666</v>
      </c>
    </row>
    <row r="9" spans="2:14">
      <c r="B9" s="65" t="s">
        <v>191</v>
      </c>
      <c r="C9" s="65" t="s">
        <v>188</v>
      </c>
      <c r="D9" s="65">
        <v>15</v>
      </c>
      <c r="E9" s="65">
        <v>8</v>
      </c>
      <c r="F9" s="65" t="s">
        <v>192</v>
      </c>
      <c r="G9" s="65">
        <v>81</v>
      </c>
      <c r="H9" s="65">
        <v>78</v>
      </c>
      <c r="I9" s="65">
        <v>88</v>
      </c>
      <c r="K9" t="s">
        <v>193</v>
      </c>
      <c r="M9" s="119">
        <v>363</v>
      </c>
      <c r="N9" s="119">
        <v>14.25</v>
      </c>
    </row>
    <row r="10" spans="2:14">
      <c r="B10" s="65" t="s">
        <v>194</v>
      </c>
      <c r="C10" s="65" t="s">
        <v>185</v>
      </c>
      <c r="D10" s="65">
        <v>14</v>
      </c>
      <c r="E10" s="65">
        <v>8</v>
      </c>
      <c r="F10" s="65" t="s">
        <v>186</v>
      </c>
      <c r="G10" s="65">
        <v>70</v>
      </c>
      <c r="H10" s="65">
        <v>75</v>
      </c>
      <c r="I10" s="65">
        <v>79</v>
      </c>
      <c r="K10" t="s">
        <v>190</v>
      </c>
      <c r="L10" t="s">
        <v>188</v>
      </c>
      <c r="M10" s="119">
        <v>181</v>
      </c>
      <c r="N10" s="119">
        <v>15.5</v>
      </c>
    </row>
    <row r="11" spans="2:14">
      <c r="B11" s="65" t="s">
        <v>195</v>
      </c>
      <c r="C11" s="65" t="s">
        <v>188</v>
      </c>
      <c r="D11" s="65">
        <v>16</v>
      </c>
      <c r="E11" s="65">
        <v>10</v>
      </c>
      <c r="F11" s="65" t="s">
        <v>187</v>
      </c>
      <c r="G11" s="65">
        <v>88</v>
      </c>
      <c r="H11" s="65">
        <v>92</v>
      </c>
      <c r="I11" s="65">
        <v>96</v>
      </c>
      <c r="L11" t="s">
        <v>185</v>
      </c>
      <c r="M11" s="119">
        <v>91</v>
      </c>
      <c r="N11" s="119">
        <v>11</v>
      </c>
    </row>
    <row r="12" spans="2:14">
      <c r="B12" s="65" t="s">
        <v>196</v>
      </c>
      <c r="C12" s="65" t="s">
        <v>185</v>
      </c>
      <c r="D12" s="65">
        <v>16</v>
      </c>
      <c r="E12" s="65">
        <v>10</v>
      </c>
      <c r="F12" s="65" t="s">
        <v>186</v>
      </c>
      <c r="G12" s="65">
        <v>82</v>
      </c>
      <c r="H12" s="65">
        <v>81</v>
      </c>
      <c r="I12" s="65">
        <v>80</v>
      </c>
      <c r="K12" t="s">
        <v>197</v>
      </c>
      <c r="M12" s="119">
        <v>272</v>
      </c>
      <c r="N12" s="119">
        <v>14</v>
      </c>
    </row>
    <row r="13" spans="2:14">
      <c r="B13" s="65" t="s">
        <v>198</v>
      </c>
      <c r="C13" s="65" t="s">
        <v>188</v>
      </c>
      <c r="D13" s="65">
        <v>14</v>
      </c>
      <c r="E13" s="65">
        <v>8</v>
      </c>
      <c r="F13" s="65" t="s">
        <v>190</v>
      </c>
      <c r="G13" s="65">
        <v>90</v>
      </c>
      <c r="H13" s="65">
        <v>86</v>
      </c>
      <c r="I13" s="65">
        <v>89</v>
      </c>
      <c r="K13" t="s">
        <v>186</v>
      </c>
      <c r="L13" t="s">
        <v>185</v>
      </c>
      <c r="M13" s="119">
        <v>240</v>
      </c>
      <c r="N13" s="119">
        <v>15.333333333333334</v>
      </c>
    </row>
    <row r="14" spans="2:14">
      <c r="B14" s="65" t="s">
        <v>199</v>
      </c>
      <c r="C14" s="65" t="s">
        <v>185</v>
      </c>
      <c r="D14" s="65">
        <v>15</v>
      </c>
      <c r="E14" s="65">
        <v>9</v>
      </c>
      <c r="F14" s="65" t="s">
        <v>187</v>
      </c>
      <c r="G14" s="65">
        <v>87</v>
      </c>
      <c r="H14" s="65">
        <v>89</v>
      </c>
      <c r="I14" s="65">
        <v>96</v>
      </c>
      <c r="K14" t="s">
        <v>200</v>
      </c>
      <c r="M14" s="119">
        <v>240</v>
      </c>
      <c r="N14" s="119">
        <v>15.333333333333334</v>
      </c>
    </row>
    <row r="15" spans="2:14">
      <c r="B15" s="65" t="s">
        <v>201</v>
      </c>
      <c r="C15" s="65" t="s">
        <v>188</v>
      </c>
      <c r="D15" s="65">
        <v>17</v>
      </c>
      <c r="E15" s="65">
        <v>10</v>
      </c>
      <c r="F15" s="65" t="s">
        <v>190</v>
      </c>
      <c r="G15" s="65">
        <v>70</v>
      </c>
      <c r="H15" s="65">
        <v>90</v>
      </c>
      <c r="I15" s="65">
        <v>92</v>
      </c>
      <c r="K15" t="s">
        <v>192</v>
      </c>
      <c r="L15" t="s">
        <v>188</v>
      </c>
      <c r="M15" s="119">
        <v>88</v>
      </c>
      <c r="N15" s="119">
        <v>15</v>
      </c>
    </row>
    <row r="16" spans="2:14">
      <c r="B16" s="65" t="s">
        <v>58</v>
      </c>
      <c r="C16" s="65" t="s">
        <v>185</v>
      </c>
      <c r="D16" s="65">
        <v>12</v>
      </c>
      <c r="E16" s="65">
        <v>7</v>
      </c>
      <c r="F16" s="65" t="s">
        <v>192</v>
      </c>
      <c r="G16" s="65">
        <v>86</v>
      </c>
      <c r="H16" s="65">
        <v>92</v>
      </c>
      <c r="I16" s="65">
        <v>89</v>
      </c>
      <c r="L16" t="s">
        <v>185</v>
      </c>
      <c r="M16" s="119">
        <v>89</v>
      </c>
      <c r="N16" s="119">
        <v>12</v>
      </c>
    </row>
    <row r="17" spans="2:14">
      <c r="B17" s="65" t="s">
        <v>202</v>
      </c>
      <c r="C17" s="65" t="s">
        <v>185</v>
      </c>
      <c r="D17" s="65">
        <v>11</v>
      </c>
      <c r="E17" s="65">
        <v>6</v>
      </c>
      <c r="F17" s="65" t="s">
        <v>187</v>
      </c>
      <c r="G17" s="65">
        <v>91</v>
      </c>
      <c r="H17" s="65">
        <v>81</v>
      </c>
      <c r="I17" s="65">
        <v>94</v>
      </c>
      <c r="K17" t="s">
        <v>203</v>
      </c>
      <c r="M17" s="119">
        <v>177</v>
      </c>
      <c r="N17" s="119">
        <v>13.5</v>
      </c>
    </row>
    <row r="18" spans="2:14">
      <c r="B18" s="65" t="s">
        <v>204</v>
      </c>
      <c r="C18" s="65" t="s">
        <v>185</v>
      </c>
      <c r="D18" s="65">
        <v>15</v>
      </c>
      <c r="E18" s="65">
        <v>5</v>
      </c>
      <c r="F18" s="65" t="s">
        <v>187</v>
      </c>
      <c r="G18" s="65">
        <v>86</v>
      </c>
      <c r="H18" s="65">
        <v>81</v>
      </c>
      <c r="I18" s="65">
        <v>77</v>
      </c>
      <c r="K18" t="s">
        <v>205</v>
      </c>
      <c r="M18" s="119">
        <v>1052</v>
      </c>
      <c r="N18" s="119">
        <v>14.333333333333334</v>
      </c>
    </row>
  </sheetData>
  <mergeCells count="2">
    <mergeCell ref="B2:I2"/>
    <mergeCell ref="B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Tanmoy Khan Akash</cp:lastModifiedBy>
  <cp:revision/>
  <dcterms:created xsi:type="dcterms:W3CDTF">2026-05-06T03:10:24Z</dcterms:created>
  <dcterms:modified xsi:type="dcterms:W3CDTF">2026-05-10T06:41:00Z</dcterms:modified>
  <cp:category/>
  <cp:contentStatus/>
</cp:coreProperties>
</file>